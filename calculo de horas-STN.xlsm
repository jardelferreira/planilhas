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6887EE04-3A55-408A-BF5E-2E39DDB865E4}" xr6:coauthVersionLast="47" xr6:coauthVersionMax="47" xr10:uidLastSave="{00000000-0000-0000-0000-000000000000}"/>
  <bookViews>
    <workbookView xWindow="-120" yWindow="-120" windowWidth="20730" windowHeight="11310" firstSheet="1" activeTab="1" xr2:uid="{682E5D1A-AEBF-4585-B2A3-DEDFACCFA032}"/>
  </bookViews>
  <sheets>
    <sheet name="Planilha1" sheetId="1" state="hidden" r:id="rId1"/>
    <sheet name="Planilha2" sheetId="2" r:id="rId2"/>
  </sheets>
  <definedNames>
    <definedName name="dias">Planilha2!$J$3:$J$33</definedName>
    <definedName name="inDias">Planilha2!$J$3:$J$33</definedName>
    <definedName name="inH">Planilha2!$J$3:$J$33</definedName>
    <definedName name="inHoras">Planilha2!$H$3:$H$33</definedName>
    <definedName name="teste">Planilha2!$N$9:$N$16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2" l="1"/>
  <c r="D33" i="2"/>
  <c r="D4" i="2"/>
  <c r="D5" i="2"/>
  <c r="D6" i="2"/>
  <c r="D7" i="2"/>
  <c r="D8" i="2"/>
  <c r="D9" i="2"/>
  <c r="D10" i="2"/>
  <c r="D11" i="2"/>
  <c r="H11" i="2" s="1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Q11" i="2"/>
  <c r="P11" i="2"/>
  <c r="I3" i="2"/>
  <c r="J3" i="2" s="1"/>
  <c r="K3" i="2" s="1"/>
  <c r="Q3" i="2"/>
  <c r="Q4" i="2" s="1"/>
  <c r="G4" i="2"/>
  <c r="H4" i="2" s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H25" i="2" s="1"/>
  <c r="G26" i="2"/>
  <c r="G27" i="2"/>
  <c r="G28" i="2"/>
  <c r="G29" i="2"/>
  <c r="G30" i="2"/>
  <c r="G31" i="2"/>
  <c r="G32" i="2"/>
  <c r="G33" i="2"/>
  <c r="G3" i="2"/>
  <c r="D3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2" i="1"/>
  <c r="W1" i="1"/>
  <c r="J3" i="1"/>
  <c r="J4" i="1" s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T17" i="1" s="1"/>
  <c r="I2" i="1"/>
  <c r="L2" i="1"/>
  <c r="H3" i="2" l="1"/>
  <c r="H18" i="2"/>
  <c r="L3" i="2"/>
  <c r="I4" i="2"/>
  <c r="J4" i="2" s="1"/>
  <c r="K4" i="2" s="1"/>
  <c r="M33" i="2"/>
  <c r="M2" i="1"/>
  <c r="N2" i="1" s="1"/>
  <c r="I6" i="1"/>
  <c r="I3" i="1"/>
  <c r="L3" i="1"/>
  <c r="M3" i="1" s="1"/>
  <c r="L4" i="1"/>
  <c r="M4" i="1" s="1"/>
  <c r="P2" i="1"/>
  <c r="Q2" i="1" s="1"/>
  <c r="R2" i="1" s="1"/>
  <c r="K3" i="1"/>
  <c r="P3" i="1" s="1"/>
  <c r="Q3" i="1" s="1"/>
  <c r="I5" i="2" l="1"/>
  <c r="J5" i="2" s="1"/>
  <c r="K5" i="2" s="1"/>
  <c r="H5" i="2" s="1"/>
  <c r="L4" i="2"/>
  <c r="I4" i="1"/>
  <c r="N4" i="1"/>
  <c r="N3" i="1"/>
  <c r="R3" i="1"/>
  <c r="K4" i="1"/>
  <c r="V2" i="1"/>
  <c r="S2" i="1" s="1"/>
  <c r="I6" i="2" l="1"/>
  <c r="J6" i="2" s="1"/>
  <c r="K6" i="2" s="1"/>
  <c r="H6" i="2" s="1"/>
  <c r="L5" i="2"/>
  <c r="I5" i="1"/>
  <c r="L5" i="1"/>
  <c r="O4" i="1"/>
  <c r="O2" i="1"/>
  <c r="O3" i="1"/>
  <c r="S3" i="1"/>
  <c r="K5" i="1"/>
  <c r="P4" i="1"/>
  <c r="Q4" i="1" s="1"/>
  <c r="R4" i="1" s="1"/>
  <c r="S4" i="1" s="1"/>
  <c r="I7" i="2" l="1"/>
  <c r="J7" i="2" s="1"/>
  <c r="K7" i="2" s="1"/>
  <c r="H7" i="2" s="1"/>
  <c r="M5" i="1"/>
  <c r="N5" i="1" s="1"/>
  <c r="O5" i="1" s="1"/>
  <c r="L6" i="1"/>
  <c r="M6" i="1" s="1"/>
  <c r="N6" i="1" s="1"/>
  <c r="O6" i="1" s="1"/>
  <c r="K6" i="1"/>
  <c r="P5" i="1"/>
  <c r="Q5" i="1" s="1"/>
  <c r="R5" i="1" s="1"/>
  <c r="S5" i="1" s="1"/>
  <c r="L6" i="2" l="1"/>
  <c r="I8" i="2"/>
  <c r="J8" i="2" s="1"/>
  <c r="K8" i="2" s="1"/>
  <c r="H8" i="2" s="1"/>
  <c r="L7" i="2"/>
  <c r="I7" i="1"/>
  <c r="L7" i="1"/>
  <c r="M7" i="1" s="1"/>
  <c r="N7" i="1" s="1"/>
  <c r="O7" i="1" s="1"/>
  <c r="K7" i="1"/>
  <c r="P6" i="1"/>
  <c r="Q6" i="1" s="1"/>
  <c r="R6" i="1" s="1"/>
  <c r="S6" i="1" s="1"/>
  <c r="I9" i="2" l="1"/>
  <c r="J9" i="2" s="1"/>
  <c r="K9" i="2" s="1"/>
  <c r="H9" i="2" s="1"/>
  <c r="I8" i="1"/>
  <c r="L8" i="1"/>
  <c r="M8" i="1" s="1"/>
  <c r="N8" i="1" s="1"/>
  <c r="O8" i="1" s="1"/>
  <c r="K8" i="1"/>
  <c r="P7" i="1"/>
  <c r="Q7" i="1" s="1"/>
  <c r="R7" i="1" s="1"/>
  <c r="S7" i="1" s="1"/>
  <c r="L8" i="2" l="1"/>
  <c r="I10" i="2"/>
  <c r="J10" i="2" s="1"/>
  <c r="K10" i="2" s="1"/>
  <c r="H10" i="2" s="1"/>
  <c r="L9" i="2"/>
  <c r="I9" i="1"/>
  <c r="L9" i="1"/>
  <c r="M9" i="1" s="1"/>
  <c r="N9" i="1" s="1"/>
  <c r="O9" i="1" s="1"/>
  <c r="K9" i="1"/>
  <c r="P8" i="1"/>
  <c r="Q8" i="1" s="1"/>
  <c r="R8" i="1" s="1"/>
  <c r="S8" i="1" s="1"/>
  <c r="L10" i="2" l="1"/>
  <c r="I11" i="2"/>
  <c r="J11" i="2" s="1"/>
  <c r="K11" i="2" s="1"/>
  <c r="I10" i="1"/>
  <c r="L10" i="1"/>
  <c r="M10" i="1" s="1"/>
  <c r="N10" i="1" s="1"/>
  <c r="O10" i="1" s="1"/>
  <c r="K10" i="1"/>
  <c r="P9" i="1"/>
  <c r="Q9" i="1" s="1"/>
  <c r="R9" i="1" s="1"/>
  <c r="S9" i="1" s="1"/>
  <c r="I12" i="2" l="1"/>
  <c r="J12" i="2" s="1"/>
  <c r="K12" i="2" s="1"/>
  <c r="H12" i="2" s="1"/>
  <c r="L11" i="2"/>
  <c r="I11" i="1"/>
  <c r="L11" i="1"/>
  <c r="M11" i="1" s="1"/>
  <c r="N11" i="1" s="1"/>
  <c r="O11" i="1" s="1"/>
  <c r="K11" i="1"/>
  <c r="P10" i="1"/>
  <c r="Q10" i="1" s="1"/>
  <c r="R10" i="1" s="1"/>
  <c r="S10" i="1" s="1"/>
  <c r="L12" i="2" l="1"/>
  <c r="I13" i="2"/>
  <c r="J13" i="2" s="1"/>
  <c r="K13" i="2" s="1"/>
  <c r="H13" i="2" s="1"/>
  <c r="I12" i="1"/>
  <c r="L12" i="1"/>
  <c r="M12" i="1" s="1"/>
  <c r="N12" i="1" s="1"/>
  <c r="O12" i="1" s="1"/>
  <c r="K12" i="1"/>
  <c r="P11" i="1"/>
  <c r="Q11" i="1" s="1"/>
  <c r="R11" i="1" s="1"/>
  <c r="S11" i="1" s="1"/>
  <c r="L13" i="2" l="1"/>
  <c r="I14" i="2"/>
  <c r="J14" i="2" s="1"/>
  <c r="K14" i="2" s="1"/>
  <c r="H14" i="2" s="1"/>
  <c r="I13" i="1"/>
  <c r="L13" i="1"/>
  <c r="M13" i="1" s="1"/>
  <c r="N13" i="1" s="1"/>
  <c r="O13" i="1" s="1"/>
  <c r="K13" i="1"/>
  <c r="P12" i="1"/>
  <c r="Q12" i="1" s="1"/>
  <c r="R12" i="1" s="1"/>
  <c r="S12" i="1" s="1"/>
  <c r="L14" i="2" l="1"/>
  <c r="I15" i="2"/>
  <c r="J15" i="2" s="1"/>
  <c r="K15" i="2" s="1"/>
  <c r="H15" i="2" s="1"/>
  <c r="I14" i="1"/>
  <c r="L14" i="1"/>
  <c r="M14" i="1" s="1"/>
  <c r="N14" i="1" s="1"/>
  <c r="O14" i="1" s="1"/>
  <c r="K14" i="1"/>
  <c r="P13" i="1"/>
  <c r="Q13" i="1" s="1"/>
  <c r="R13" i="1" s="1"/>
  <c r="S13" i="1" s="1"/>
  <c r="L15" i="2" l="1"/>
  <c r="I16" i="2"/>
  <c r="J16" i="2" s="1"/>
  <c r="K16" i="2" s="1"/>
  <c r="H16" i="2" s="1"/>
  <c r="I15" i="1"/>
  <c r="L15" i="1"/>
  <c r="M15" i="1" s="1"/>
  <c r="N15" i="1" s="1"/>
  <c r="O15" i="1" s="1"/>
  <c r="K15" i="1"/>
  <c r="P14" i="1"/>
  <c r="Q14" i="1" s="1"/>
  <c r="R14" i="1" s="1"/>
  <c r="S14" i="1" s="1"/>
  <c r="L16" i="2" l="1"/>
  <c r="I17" i="2"/>
  <c r="J17" i="2" s="1"/>
  <c r="K17" i="2" s="1"/>
  <c r="H17" i="2" s="1"/>
  <c r="I16" i="1"/>
  <c r="L16" i="1"/>
  <c r="M16" i="1" s="1"/>
  <c r="N16" i="1" s="1"/>
  <c r="O16" i="1" s="1"/>
  <c r="K16" i="1"/>
  <c r="P15" i="1"/>
  <c r="Q15" i="1" s="1"/>
  <c r="R15" i="1" s="1"/>
  <c r="S15" i="1" s="1"/>
  <c r="L17" i="2" l="1"/>
  <c r="I18" i="2"/>
  <c r="J18" i="2" s="1"/>
  <c r="K18" i="2" s="1"/>
  <c r="I17" i="1"/>
  <c r="L17" i="1"/>
  <c r="M17" i="1" s="1"/>
  <c r="N17" i="1" s="1"/>
  <c r="O17" i="1" s="1"/>
  <c r="K17" i="1"/>
  <c r="P16" i="1"/>
  <c r="Q16" i="1" s="1"/>
  <c r="R16" i="1" s="1"/>
  <c r="S16" i="1" s="1"/>
  <c r="L18" i="2" l="1"/>
  <c r="I19" i="2"/>
  <c r="J19" i="2" s="1"/>
  <c r="K19" i="2" s="1"/>
  <c r="H19" i="2" s="1"/>
  <c r="I18" i="1"/>
  <c r="L18" i="1"/>
  <c r="M18" i="1" s="1"/>
  <c r="N18" i="1" s="1"/>
  <c r="O18" i="1" s="1"/>
  <c r="K18" i="1"/>
  <c r="P17" i="1"/>
  <c r="Q17" i="1" s="1"/>
  <c r="R17" i="1" s="1"/>
  <c r="S17" i="1" s="1"/>
  <c r="L19" i="2" l="1"/>
  <c r="I20" i="2"/>
  <c r="J20" i="2" s="1"/>
  <c r="K20" i="2" s="1"/>
  <c r="H20" i="2" s="1"/>
  <c r="I19" i="1"/>
  <c r="L19" i="1"/>
  <c r="M19" i="1" s="1"/>
  <c r="N19" i="1" s="1"/>
  <c r="O19" i="1" s="1"/>
  <c r="K19" i="1"/>
  <c r="P18" i="1"/>
  <c r="Q18" i="1" s="1"/>
  <c r="R18" i="1" s="1"/>
  <c r="S18" i="1" s="1"/>
  <c r="L20" i="2" l="1"/>
  <c r="I21" i="2"/>
  <c r="J21" i="2" s="1"/>
  <c r="K21" i="2" s="1"/>
  <c r="H21" i="2" s="1"/>
  <c r="I20" i="1"/>
  <c r="L20" i="1"/>
  <c r="M20" i="1" s="1"/>
  <c r="N20" i="1" s="1"/>
  <c r="O20" i="1" s="1"/>
  <c r="K20" i="1"/>
  <c r="P19" i="1"/>
  <c r="Q19" i="1" s="1"/>
  <c r="R19" i="1" s="1"/>
  <c r="S19" i="1" s="1"/>
  <c r="L21" i="2" l="1"/>
  <c r="I22" i="2"/>
  <c r="J22" i="2" s="1"/>
  <c r="K22" i="2" s="1"/>
  <c r="H22" i="2" s="1"/>
  <c r="I21" i="1"/>
  <c r="L21" i="1"/>
  <c r="M21" i="1" s="1"/>
  <c r="N21" i="1" s="1"/>
  <c r="O21" i="1" s="1"/>
  <c r="K21" i="1"/>
  <c r="P20" i="1"/>
  <c r="Q20" i="1" s="1"/>
  <c r="R20" i="1" s="1"/>
  <c r="S20" i="1" s="1"/>
  <c r="L22" i="2" l="1"/>
  <c r="I23" i="2"/>
  <c r="J23" i="2" s="1"/>
  <c r="K23" i="2" s="1"/>
  <c r="H23" i="2" s="1"/>
  <c r="I22" i="1"/>
  <c r="L22" i="1"/>
  <c r="M22" i="1" s="1"/>
  <c r="N22" i="1" s="1"/>
  <c r="O22" i="1" s="1"/>
  <c r="K22" i="1"/>
  <c r="P21" i="1"/>
  <c r="Q21" i="1" s="1"/>
  <c r="R21" i="1" s="1"/>
  <c r="S21" i="1" s="1"/>
  <c r="L23" i="2" l="1"/>
  <c r="I24" i="2"/>
  <c r="J24" i="2" s="1"/>
  <c r="K24" i="2" s="1"/>
  <c r="H24" i="2" s="1"/>
  <c r="I23" i="1"/>
  <c r="L23" i="1"/>
  <c r="M23" i="1" s="1"/>
  <c r="N23" i="1" s="1"/>
  <c r="O23" i="1" s="1"/>
  <c r="K23" i="1"/>
  <c r="P22" i="1"/>
  <c r="Q22" i="1" s="1"/>
  <c r="R22" i="1" s="1"/>
  <c r="S22" i="1" s="1"/>
  <c r="L24" i="2" l="1"/>
  <c r="I25" i="2"/>
  <c r="J25" i="2" s="1"/>
  <c r="K25" i="2" s="1"/>
  <c r="I24" i="1"/>
  <c r="L24" i="1"/>
  <c r="M24" i="1" s="1"/>
  <c r="N24" i="1" s="1"/>
  <c r="O24" i="1" s="1"/>
  <c r="K24" i="1"/>
  <c r="P23" i="1"/>
  <c r="Q23" i="1" s="1"/>
  <c r="R23" i="1" s="1"/>
  <c r="S23" i="1" s="1"/>
  <c r="L25" i="2" l="1"/>
  <c r="I26" i="2"/>
  <c r="J26" i="2" s="1"/>
  <c r="K26" i="2" s="1"/>
  <c r="H26" i="2" s="1"/>
  <c r="I25" i="1"/>
  <c r="L25" i="1"/>
  <c r="M25" i="1" s="1"/>
  <c r="N25" i="1" s="1"/>
  <c r="O25" i="1" s="1"/>
  <c r="K25" i="1"/>
  <c r="P24" i="1"/>
  <c r="Q24" i="1" s="1"/>
  <c r="R24" i="1" s="1"/>
  <c r="S24" i="1" s="1"/>
  <c r="L26" i="2" l="1"/>
  <c r="I27" i="2"/>
  <c r="J27" i="2" s="1"/>
  <c r="K27" i="2" s="1"/>
  <c r="H27" i="2" s="1"/>
  <c r="I26" i="1"/>
  <c r="L26" i="1"/>
  <c r="M26" i="1" s="1"/>
  <c r="N26" i="1" s="1"/>
  <c r="O26" i="1" s="1"/>
  <c r="K26" i="1"/>
  <c r="P25" i="1"/>
  <c r="Q25" i="1" s="1"/>
  <c r="R25" i="1" s="1"/>
  <c r="S25" i="1" s="1"/>
  <c r="L27" i="2" l="1"/>
  <c r="I28" i="2"/>
  <c r="J28" i="2" s="1"/>
  <c r="K28" i="2" s="1"/>
  <c r="H28" i="2" s="1"/>
  <c r="I27" i="1"/>
  <c r="L27" i="1"/>
  <c r="M27" i="1" s="1"/>
  <c r="N27" i="1" s="1"/>
  <c r="O27" i="1" s="1"/>
  <c r="K27" i="1"/>
  <c r="P26" i="1"/>
  <c r="Q26" i="1" s="1"/>
  <c r="R26" i="1" s="1"/>
  <c r="S26" i="1" s="1"/>
  <c r="L28" i="2" l="1"/>
  <c r="I29" i="2"/>
  <c r="J29" i="2" s="1"/>
  <c r="K29" i="2" s="1"/>
  <c r="H29" i="2" s="1"/>
  <c r="L28" i="1"/>
  <c r="M28" i="1" s="1"/>
  <c r="N28" i="1" s="1"/>
  <c r="O28" i="1" s="1"/>
  <c r="O29" i="1" s="1"/>
  <c r="I28" i="1"/>
  <c r="P27" i="1"/>
  <c r="Q27" i="1" s="1"/>
  <c r="R27" i="1" s="1"/>
  <c r="S27" i="1" s="1"/>
  <c r="K28" i="1"/>
  <c r="L29" i="2" l="1"/>
  <c r="I30" i="2"/>
  <c r="J30" i="2" s="1"/>
  <c r="K30" i="2" s="1"/>
  <c r="H30" i="2" s="1"/>
  <c r="O30" i="1"/>
  <c r="O31" i="1" s="1"/>
  <c r="V3" i="1" s="1"/>
  <c r="P28" i="1"/>
  <c r="Q28" i="1" s="1"/>
  <c r="R28" i="1" s="1"/>
  <c r="S28" i="1" s="1"/>
  <c r="T29" i="1" s="1"/>
  <c r="L30" i="2" l="1"/>
  <c r="I31" i="2"/>
  <c r="J31" i="2" s="1"/>
  <c r="K31" i="2" s="1"/>
  <c r="H31" i="2" s="1"/>
  <c r="U4" i="1"/>
  <c r="V4" i="1" s="1"/>
  <c r="W29" i="1"/>
  <c r="W30" i="1" s="1"/>
  <c r="W31" i="1" s="1"/>
  <c r="L31" i="2" l="1"/>
  <c r="I32" i="2"/>
  <c r="J32" i="2" s="1"/>
  <c r="X1" i="1"/>
  <c r="X30" i="1"/>
  <c r="X31" i="1" s="1"/>
  <c r="X32" i="1" s="1"/>
  <c r="X33" i="1" s="1"/>
  <c r="Y30" i="1" s="1"/>
  <c r="Y31" i="1" s="1"/>
  <c r="K32" i="2" l="1"/>
  <c r="H32" i="2" s="1"/>
  <c r="L32" i="2"/>
  <c r="I33" i="2"/>
  <c r="J33" i="2" s="1"/>
  <c r="W5" i="2" s="1"/>
  <c r="U5" i="1"/>
  <c r="V5" i="1" s="1"/>
  <c r="V6" i="1" s="1"/>
  <c r="Y33" i="1"/>
  <c r="W8" i="2" l="1"/>
  <c r="R5" i="2"/>
  <c r="K33" i="2"/>
  <c r="H33" i="2" s="1"/>
  <c r="W3" i="2" s="1"/>
  <c r="W4" i="2"/>
  <c r="W7" i="2"/>
  <c r="W10" i="2"/>
  <c r="L33" i="2"/>
  <c r="W6" i="2"/>
  <c r="W9" i="2"/>
  <c r="N4" i="2" s="1"/>
  <c r="O4" i="2" s="1"/>
  <c r="P4" i="2" s="1"/>
  <c r="N3" i="2" l="1"/>
  <c r="O3" i="2" s="1"/>
  <c r="P3" i="2" s="1"/>
  <c r="N2" i="2"/>
  <c r="O2" i="2" s="1"/>
  <c r="P2" i="2" l="1"/>
  <c r="P5" i="2" s="1"/>
  <c r="N8" i="2" s="1"/>
  <c r="N7" i="2" s="1"/>
  <c r="O5" i="2"/>
  <c r="N5" i="2"/>
  <c r="N21" i="2" l="1"/>
  <c r="O21" i="2" s="1"/>
  <c r="N9" i="2" s="1"/>
  <c r="N22" i="2" l="1"/>
  <c r="O22" i="2" s="1"/>
  <c r="N10" i="2" l="1"/>
  <c r="N11" i="2" s="1"/>
  <c r="M12" i="2" s="1"/>
</calcChain>
</file>

<file path=xl/sharedStrings.xml><?xml version="1.0" encoding="utf-8"?>
<sst xmlns="http://schemas.openxmlformats.org/spreadsheetml/2006/main" count="323" uniqueCount="103">
  <si>
    <t>sal</t>
  </si>
  <si>
    <t>dsr</t>
  </si>
  <si>
    <t>Alíquota</t>
  </si>
  <si>
    <t>INSS</t>
  </si>
  <si>
    <t>IRRF</t>
  </si>
  <si>
    <t>dependentes</t>
  </si>
  <si>
    <t>dedução</t>
  </si>
  <si>
    <t>entrada</t>
  </si>
  <si>
    <t>Saída</t>
  </si>
  <si>
    <t>data</t>
  </si>
  <si>
    <t>Entrada</t>
  </si>
  <si>
    <t>00</t>
  </si>
  <si>
    <t>19</t>
  </si>
  <si>
    <t>18</t>
  </si>
  <si>
    <t>17</t>
  </si>
  <si>
    <t>16</t>
  </si>
  <si>
    <t>07</t>
  </si>
  <si>
    <t>06</t>
  </si>
  <si>
    <t>55</t>
  </si>
  <si>
    <t>01</t>
  </si>
  <si>
    <t>02</t>
  </si>
  <si>
    <t>03</t>
  </si>
  <si>
    <t>04</t>
  </si>
  <si>
    <t>HN</t>
  </si>
  <si>
    <t>HC</t>
  </si>
  <si>
    <t>VH</t>
  </si>
  <si>
    <t xml:space="preserve">SOMA </t>
  </si>
  <si>
    <t>DSR</t>
  </si>
  <si>
    <t>dom</t>
  </si>
  <si>
    <t>seg</t>
  </si>
  <si>
    <t>ter</t>
  </si>
  <si>
    <t>qua</t>
  </si>
  <si>
    <t>qui</t>
  </si>
  <si>
    <t>sex</t>
  </si>
  <si>
    <t>sáb</t>
  </si>
  <si>
    <t>total</t>
  </si>
  <si>
    <t>meu salário</t>
  </si>
  <si>
    <t>Minha hora + 30%</t>
  </si>
  <si>
    <t>contribuição</t>
  </si>
  <si>
    <t>acima de</t>
  </si>
  <si>
    <t>valor total + horas</t>
  </si>
  <si>
    <t>QUANTOS DEPENDENTES?</t>
  </si>
  <si>
    <t>alíquota</t>
  </si>
  <si>
    <t>Salário Líquido</t>
  </si>
  <si>
    <t>50</t>
  </si>
  <si>
    <t>45</t>
  </si>
  <si>
    <t>48</t>
  </si>
  <si>
    <t>38</t>
  </si>
  <si>
    <t>51</t>
  </si>
  <si>
    <t>49</t>
  </si>
  <si>
    <t>47</t>
  </si>
  <si>
    <t>46</t>
  </si>
  <si>
    <t>32</t>
  </si>
  <si>
    <t>INFORMAR O SALÁRIO E OS DEPENDENTES LEGAIS, ALÉM DE PREENCHER AS HORAS TRABALHADAS DE SEG À SÁB</t>
  </si>
  <si>
    <t>57</t>
  </si>
  <si>
    <t>33</t>
  </si>
  <si>
    <t>29</t>
  </si>
  <si>
    <t>59</t>
  </si>
  <si>
    <t>40</t>
  </si>
  <si>
    <t>34</t>
  </si>
  <si>
    <t>53</t>
  </si>
  <si>
    <t>42</t>
  </si>
  <si>
    <t>09</t>
  </si>
  <si>
    <t>41</t>
  </si>
  <si>
    <t>27</t>
  </si>
  <si>
    <t>25</t>
  </si>
  <si>
    <t>Horas</t>
  </si>
  <si>
    <t>Min</t>
  </si>
  <si>
    <t>Hora</t>
  </si>
  <si>
    <t>Saida</t>
  </si>
  <si>
    <t xml:space="preserve">Mês  </t>
  </si>
  <si>
    <t xml:space="preserve">Dia </t>
  </si>
  <si>
    <t>Dom</t>
  </si>
  <si>
    <t>Seg</t>
  </si>
  <si>
    <t>Ter</t>
  </si>
  <si>
    <t>Qua</t>
  </si>
  <si>
    <t>Qui</t>
  </si>
  <si>
    <t>Sex</t>
  </si>
  <si>
    <t>Sáb</t>
  </si>
  <si>
    <t>Taxa</t>
  </si>
  <si>
    <t>horas calculadas</t>
  </si>
  <si>
    <t xml:space="preserve">percentual </t>
  </si>
  <si>
    <t>31teste</t>
  </si>
  <si>
    <t>N31</t>
  </si>
  <si>
    <t>meses</t>
  </si>
  <si>
    <t>indice</t>
  </si>
  <si>
    <t>Salário</t>
  </si>
  <si>
    <t xml:space="preserve">Valor </t>
  </si>
  <si>
    <t>normal</t>
  </si>
  <si>
    <t>hora+30%</t>
  </si>
  <si>
    <t xml:space="preserve">Calculos </t>
  </si>
  <si>
    <t>valor</t>
  </si>
  <si>
    <t>Feriados</t>
  </si>
  <si>
    <t>Fer</t>
  </si>
  <si>
    <t>soma de horas</t>
  </si>
  <si>
    <t>Filhos</t>
  </si>
  <si>
    <t>taxa</t>
  </si>
  <si>
    <t>Salário bruto</t>
  </si>
  <si>
    <t>Salário liq.</t>
  </si>
  <si>
    <t>adicionais</t>
  </si>
  <si>
    <t>descontos</t>
  </si>
  <si>
    <t>sal+30%</t>
  </si>
  <si>
    <t>hora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</si>
</sst>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164" formatCode="[$-F400]h:mm:ss\ AM/PM"/>
    <numFmt numFmtId="165" formatCode="[$-416]d\-mmm;@"/>
    <numFmt numFmtId="166" formatCode="0.0%"/>
    <numFmt numFmtId="167" formatCode="[h]:mm:ss;@"/>
    <numFmt numFmtId="168" formatCode="mmmm/yy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Arial"/>
      <family val="2"/>
    </font>
    <font>
      <sz val="11"/>
      <color theme="0"/>
      <name val="Arial"/>
      <family val="2"/>
    </font>
    <font>
      <sz val="11"/>
      <color theme="0"/>
      <name val="Open Sans"/>
      <family val="2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81FB8D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7" borderId="1" xfId="0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165" fontId="0" fillId="9" borderId="1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" fontId="0" fillId="7" borderId="1" xfId="0" applyNumberForma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4" fontId="0" fillId="8" borderId="1" xfId="0" applyNumberForma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44" fontId="0" fillId="0" borderId="1" xfId="1" applyFont="1" applyBorder="1" applyAlignment="1">
      <alignment horizontal="center"/>
    </xf>
    <xf numFmtId="44" fontId="0" fillId="0" borderId="0" xfId="1" applyFont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6" borderId="1" xfId="0" applyNumberFormat="1" applyFill="1" applyBorder="1" applyAlignment="1">
      <alignment horizontal="center"/>
    </xf>
    <xf numFmtId="0" fontId="0" fillId="6" borderId="3" xfId="0" applyNumberFormat="1" applyFill="1" applyBorder="1" applyAlignment="1">
      <alignment horizontal="center"/>
    </xf>
    <xf numFmtId="0" fontId="0" fillId="10" borderId="0" xfId="0" applyNumberFormat="1" applyFill="1" applyBorder="1" applyAlignment="1">
      <alignment horizontal="center"/>
    </xf>
    <xf numFmtId="0" fontId="0" fillId="0" borderId="0" xfId="0" applyNumberFormat="1"/>
    <xf numFmtId="44" fontId="0" fillId="0" borderId="4" xfId="1" applyFont="1" applyBorder="1" applyAlignment="1">
      <alignment horizontal="center"/>
    </xf>
    <xf numFmtId="0" fontId="0" fillId="0" borderId="5" xfId="0" applyBorder="1"/>
    <xf numFmtId="44" fontId="0" fillId="0" borderId="6" xfId="1" applyFont="1" applyBorder="1"/>
    <xf numFmtId="166" fontId="0" fillId="0" borderId="1" xfId="2" applyNumberFormat="1" applyFont="1" applyBorder="1" applyAlignment="1">
      <alignment horizontal="center"/>
    </xf>
    <xf numFmtId="166" fontId="0" fillId="0" borderId="1" xfId="2" applyNumberFormat="1" applyFont="1" applyBorder="1"/>
    <xf numFmtId="44" fontId="0" fillId="0" borderId="6" xfId="0" applyNumberFormat="1" applyBorder="1"/>
    <xf numFmtId="44" fontId="0" fillId="10" borderId="4" xfId="1" applyFont="1" applyFill="1" applyBorder="1" applyAlignment="1">
      <alignment horizontal="center"/>
    </xf>
    <xf numFmtId="44" fontId="0" fillId="13" borderId="6" xfId="0" applyNumberFormat="1" applyFill="1" applyBorder="1"/>
    <xf numFmtId="49" fontId="0" fillId="11" borderId="1" xfId="0" applyNumberFormat="1" applyFill="1" applyBorder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49" fontId="0" fillId="12" borderId="1" xfId="0" applyNumberFormat="1" applyFill="1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2" fillId="10" borderId="0" xfId="0" applyNumberFormat="1" applyFont="1" applyFill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44" fontId="2" fillId="0" borderId="0" xfId="1" applyFont="1" applyAlignment="1">
      <alignment horizontal="center"/>
    </xf>
    <xf numFmtId="44" fontId="0" fillId="2" borderId="14" xfId="1" applyFont="1" applyFill="1" applyBorder="1" applyProtection="1">
      <protection locked="0"/>
    </xf>
    <xf numFmtId="0" fontId="4" fillId="10" borderId="7" xfId="0" applyFont="1" applyFill="1" applyBorder="1"/>
    <xf numFmtId="44" fontId="0" fillId="7" borderId="1" xfId="1" applyFont="1" applyFill="1" applyBorder="1" applyAlignment="1">
      <alignment horizontal="center"/>
    </xf>
    <xf numFmtId="165" fontId="0" fillId="2" borderId="1" xfId="0" applyNumberFormat="1" applyFill="1" applyBorder="1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14" fontId="0" fillId="0" borderId="0" xfId="0" applyNumberFormat="1"/>
    <xf numFmtId="9" fontId="0" fillId="0" borderId="0" xfId="2" applyFont="1"/>
    <xf numFmtId="0" fontId="0" fillId="0" borderId="0" xfId="0" applyFont="1"/>
    <xf numFmtId="14" fontId="0" fillId="0" borderId="0" xfId="0" applyNumberFormat="1" applyAlignment="1">
      <alignment horizontal="center"/>
    </xf>
    <xf numFmtId="0" fontId="2" fillId="0" borderId="0" xfId="0" applyFont="1" applyFill="1"/>
    <xf numFmtId="44" fontId="0" fillId="0" borderId="1" xfId="1" applyFont="1" applyBorder="1"/>
    <xf numFmtId="44" fontId="1" fillId="10" borderId="0" xfId="1" applyFont="1" applyFill="1" applyBorder="1"/>
    <xf numFmtId="44" fontId="1" fillId="0" borderId="0" xfId="0" applyNumberFormat="1" applyFont="1" applyBorder="1"/>
    <xf numFmtId="0" fontId="1" fillId="0" borderId="0" xfId="0" applyFont="1" applyBorder="1"/>
    <xf numFmtId="0" fontId="5" fillId="4" borderId="0" xfId="0" applyFont="1" applyFill="1" applyBorder="1" applyAlignment="1">
      <alignment horizontal="left" vertical="center" wrapText="1"/>
    </xf>
    <xf numFmtId="0" fontId="5" fillId="4" borderId="0" xfId="0" applyFont="1" applyFill="1" applyBorder="1" applyAlignment="1">
      <alignment horizontal="right" vertical="center" wrapText="1"/>
    </xf>
    <xf numFmtId="44" fontId="6" fillId="4" borderId="0" xfId="1" applyFont="1" applyFill="1" applyBorder="1" applyAlignment="1">
      <alignment horizontal="left" vertical="center" wrapText="1"/>
    </xf>
    <xf numFmtId="10" fontId="6" fillId="4" borderId="0" xfId="0" applyNumberFormat="1" applyFont="1" applyFill="1" applyBorder="1" applyAlignment="1">
      <alignment horizontal="right" vertical="center" wrapText="1"/>
    </xf>
    <xf numFmtId="0" fontId="7" fillId="4" borderId="0" xfId="0" applyFont="1" applyFill="1" applyBorder="1" applyAlignment="1">
      <alignment horizontal="center" wrapText="1"/>
    </xf>
    <xf numFmtId="0" fontId="8" fillId="4" borderId="0" xfId="0" applyFont="1" applyFill="1" applyBorder="1" applyAlignment="1">
      <alignment horizontal="center"/>
    </xf>
    <xf numFmtId="10" fontId="9" fillId="4" borderId="0" xfId="0" applyNumberFormat="1" applyFont="1" applyFill="1" applyBorder="1" applyAlignment="1">
      <alignment horizontal="left" vertical="center" wrapText="1" indent="1"/>
    </xf>
    <xf numFmtId="44" fontId="10" fillId="4" borderId="0" xfId="1" applyFont="1" applyFill="1" applyBorder="1" applyAlignment="1">
      <alignment horizontal="left" vertical="center" wrapText="1" indent="1"/>
    </xf>
    <xf numFmtId="9" fontId="9" fillId="4" borderId="0" xfId="0" applyNumberFormat="1" applyFont="1" applyFill="1" applyBorder="1" applyAlignment="1">
      <alignment horizontal="left" vertical="center" wrapText="1" indent="1"/>
    </xf>
    <xf numFmtId="0" fontId="1" fillId="0" borderId="0" xfId="0" applyFont="1"/>
    <xf numFmtId="0" fontId="0" fillId="0" borderId="0" xfId="0" applyNumberFormat="1" applyFont="1"/>
    <xf numFmtId="0" fontId="0" fillId="10" borderId="0" xfId="0" applyFont="1" applyFill="1"/>
    <xf numFmtId="44" fontId="0" fillId="10" borderId="0" xfId="1" applyFont="1" applyFill="1" applyBorder="1" applyAlignment="1">
      <alignment horizontal="center"/>
    </xf>
    <xf numFmtId="0" fontId="0" fillId="10" borderId="0" xfId="0" applyFont="1" applyFill="1" applyBorder="1"/>
    <xf numFmtId="2" fontId="0" fillId="10" borderId="0" xfId="0" applyNumberFormat="1" applyFont="1" applyFill="1" applyBorder="1"/>
    <xf numFmtId="9" fontId="0" fillId="10" borderId="0" xfId="2" applyFont="1" applyFill="1" applyBorder="1"/>
    <xf numFmtId="10" fontId="0" fillId="10" borderId="0" xfId="2" applyNumberFormat="1" applyFont="1" applyFill="1" applyBorder="1"/>
    <xf numFmtId="0" fontId="0" fillId="10" borderId="0" xfId="0" applyFont="1" applyFill="1" applyBorder="1" applyAlignment="1">
      <alignment horizontal="center"/>
    </xf>
    <xf numFmtId="44" fontId="0" fillId="10" borderId="0" xfId="1" applyFont="1" applyFill="1" applyBorder="1"/>
    <xf numFmtId="44" fontId="0" fillId="10" borderId="0" xfId="0" applyNumberFormat="1" applyFont="1" applyFill="1" applyBorder="1"/>
    <xf numFmtId="0" fontId="2" fillId="0" borderId="24" xfId="0" applyFont="1" applyFill="1" applyBorder="1"/>
    <xf numFmtId="0" fontId="2" fillId="0" borderId="0" xfId="0" applyFont="1" applyFill="1" applyBorder="1"/>
    <xf numFmtId="168" fontId="2" fillId="0" borderId="0" xfId="0" applyNumberFormat="1" applyFont="1" applyFill="1" applyBorder="1" applyAlignment="1">
      <alignment horizontal="center"/>
    </xf>
    <xf numFmtId="14" fontId="2" fillId="0" borderId="24" xfId="0" applyNumberFormat="1" applyFont="1" applyBorder="1"/>
    <xf numFmtId="0" fontId="2" fillId="0" borderId="25" xfId="0" applyFont="1" applyBorder="1"/>
    <xf numFmtId="0" fontId="2" fillId="0" borderId="23" xfId="0" applyFont="1" applyBorder="1"/>
    <xf numFmtId="14" fontId="2" fillId="0" borderId="0" xfId="0" applyNumberFormat="1" applyFont="1" applyBorder="1"/>
    <xf numFmtId="0" fontId="2" fillId="0" borderId="2" xfId="0" applyFont="1" applyBorder="1"/>
    <xf numFmtId="0" fontId="2" fillId="0" borderId="26" xfId="0" applyFont="1" applyBorder="1"/>
    <xf numFmtId="14" fontId="2" fillId="0" borderId="27" xfId="0" applyNumberFormat="1" applyFont="1" applyBorder="1"/>
    <xf numFmtId="0" fontId="2" fillId="0" borderId="28" xfId="0" applyFont="1" applyBorder="1"/>
    <xf numFmtId="0" fontId="11" fillId="0" borderId="0" xfId="0" applyFont="1" applyAlignment="1">
      <alignment horizontal="center"/>
    </xf>
    <xf numFmtId="0" fontId="11" fillId="0" borderId="0" xfId="0" applyFont="1"/>
    <xf numFmtId="0" fontId="2" fillId="0" borderId="0" xfId="0" applyFont="1"/>
    <xf numFmtId="167" fontId="0" fillId="19" borderId="1" xfId="0" applyNumberFormat="1" applyFill="1" applyBorder="1" applyAlignment="1">
      <alignment horizontal="center"/>
    </xf>
    <xf numFmtId="0" fontId="0" fillId="0" borderId="0" xfId="0" applyBorder="1"/>
    <xf numFmtId="0" fontId="0" fillId="17" borderId="0" xfId="0" applyNumberFormat="1" applyFill="1" applyBorder="1" applyAlignment="1">
      <alignment horizontal="center"/>
    </xf>
    <xf numFmtId="164" fontId="2" fillId="0" borderId="0" xfId="0" applyNumberFormat="1" applyFont="1" applyFill="1" applyBorder="1"/>
    <xf numFmtId="0" fontId="12" fillId="0" borderId="0" xfId="0" applyFont="1" applyAlignment="1">
      <alignment horizontal="center"/>
    </xf>
    <xf numFmtId="0" fontId="12" fillId="0" borderId="0" xfId="0" applyFont="1"/>
    <xf numFmtId="0" fontId="0" fillId="0" borderId="0" xfId="0" applyBorder="1" applyAlignment="1"/>
    <xf numFmtId="166" fontId="2" fillId="0" borderId="0" xfId="2" applyNumberFormat="1" applyFont="1" applyAlignment="1">
      <alignment horizontal="center"/>
    </xf>
    <xf numFmtId="44" fontId="2" fillId="0" borderId="0" xfId="0" applyNumberFormat="1" applyFont="1" applyAlignment="1">
      <alignment horizontal="center"/>
    </xf>
    <xf numFmtId="0" fontId="13" fillId="4" borderId="1" xfId="0" applyFont="1" applyFill="1" applyBorder="1" applyAlignment="1">
      <alignment horizontal="left" vertical="center" wrapText="1"/>
    </xf>
    <xf numFmtId="0" fontId="13" fillId="4" borderId="1" xfId="0" applyFont="1" applyFill="1" applyBorder="1" applyAlignment="1">
      <alignment horizontal="right" vertical="center" wrapText="1"/>
    </xf>
    <xf numFmtId="0" fontId="2" fillId="0" borderId="1" xfId="0" applyFont="1" applyBorder="1"/>
    <xf numFmtId="44" fontId="14" fillId="4" borderId="1" xfId="1" applyFont="1" applyFill="1" applyBorder="1" applyAlignment="1">
      <alignment horizontal="left" vertical="center" wrapText="1"/>
    </xf>
    <xf numFmtId="10" fontId="14" fillId="4" borderId="1" xfId="0" applyNumberFormat="1" applyFont="1" applyFill="1" applyBorder="1" applyAlignment="1">
      <alignment horizontal="right" vertical="center" wrapText="1"/>
    </xf>
    <xf numFmtId="0" fontId="15" fillId="4" borderId="1" xfId="0" applyFont="1" applyFill="1" applyBorder="1" applyAlignment="1">
      <alignment horizontal="center" wrapText="1"/>
    </xf>
    <xf numFmtId="0" fontId="16" fillId="4" borderId="1" xfId="0" applyFont="1" applyFill="1" applyBorder="1" applyAlignment="1">
      <alignment horizontal="center"/>
    </xf>
    <xf numFmtId="10" fontId="17" fillId="4" borderId="1" xfId="0" applyNumberFormat="1" applyFont="1" applyFill="1" applyBorder="1" applyAlignment="1">
      <alignment horizontal="left" vertical="center" wrapText="1" indent="1"/>
    </xf>
    <xf numFmtId="44" fontId="18" fillId="4" borderId="1" xfId="1" applyFont="1" applyFill="1" applyBorder="1" applyAlignment="1">
      <alignment horizontal="left" vertical="center" wrapText="1" indent="1"/>
    </xf>
    <xf numFmtId="9" fontId="17" fillId="4" borderId="1" xfId="0" applyNumberFormat="1" applyFont="1" applyFill="1" applyBorder="1" applyAlignment="1">
      <alignment horizontal="left" vertical="center" wrapText="1" indent="1"/>
    </xf>
    <xf numFmtId="0" fontId="19" fillId="0" borderId="0" xfId="0" applyFont="1"/>
    <xf numFmtId="0" fontId="0" fillId="12" borderId="1" xfId="0" applyFill="1" applyBorder="1" applyAlignment="1">
      <alignment horizontal="center"/>
    </xf>
    <xf numFmtId="44" fontId="0" fillId="0" borderId="1" xfId="1" applyFont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12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44" fontId="0" fillId="2" borderId="1" xfId="1" applyFont="1" applyFill="1" applyBorder="1" applyProtection="1">
      <protection locked="0"/>
    </xf>
    <xf numFmtId="44" fontId="0" fillId="0" borderId="1" xfId="1" applyFont="1" applyBorder="1" applyAlignment="1"/>
    <xf numFmtId="0" fontId="0" fillId="6" borderId="1" xfId="0" applyFill="1" applyBorder="1" applyAlignment="1"/>
    <xf numFmtId="44" fontId="0" fillId="0" borderId="1" xfId="0" applyNumberFormat="1" applyBorder="1" applyAlignment="1"/>
    <xf numFmtId="0" fontId="0" fillId="0" borderId="1" xfId="0" applyBorder="1" applyAlignment="1"/>
    <xf numFmtId="167" fontId="0" fillId="15" borderId="22" xfId="0" applyNumberFormat="1" applyFill="1" applyBorder="1" applyAlignment="1">
      <alignment horizontal="center"/>
    </xf>
    <xf numFmtId="167" fontId="0" fillId="11" borderId="1" xfId="0" applyNumberFormat="1" applyFill="1" applyBorder="1" applyAlignment="1">
      <alignment horizontal="center"/>
    </xf>
    <xf numFmtId="167" fontId="0" fillId="9" borderId="1" xfId="0" applyNumberFormat="1" applyFill="1" applyBorder="1" applyAlignment="1">
      <alignment horizontal="center"/>
    </xf>
    <xf numFmtId="167" fontId="0" fillId="20" borderId="1" xfId="0" applyNumberFormat="1" applyFill="1" applyBorder="1" applyAlignment="1">
      <alignment horizontal="center"/>
    </xf>
    <xf numFmtId="9" fontId="0" fillId="0" borderId="4" xfId="2" applyFont="1" applyBorder="1"/>
    <xf numFmtId="0" fontId="2" fillId="0" borderId="24" xfId="0" applyFont="1" applyBorder="1"/>
    <xf numFmtId="0" fontId="2" fillId="0" borderId="0" xfId="0" applyFont="1" applyBorder="1"/>
    <xf numFmtId="0" fontId="0" fillId="5" borderId="29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0" fillId="0" borderId="16" xfId="0" applyBorder="1"/>
    <xf numFmtId="0" fontId="0" fillId="0" borderId="31" xfId="0" applyFill="1" applyBorder="1" applyAlignment="1">
      <alignment horizontal="center"/>
    </xf>
    <xf numFmtId="9" fontId="0" fillId="15" borderId="32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11" borderId="5" xfId="0" applyNumberFormat="1" applyFill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0" borderId="18" xfId="0" applyBorder="1"/>
    <xf numFmtId="9" fontId="0" fillId="9" borderId="5" xfId="0" applyNumberFormat="1" applyFill="1" applyBorder="1" applyAlignment="1">
      <alignment horizontal="center"/>
    </xf>
    <xf numFmtId="0" fontId="0" fillId="20" borderId="5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0" borderId="18" xfId="0" applyBorder="1" applyAlignment="1"/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44" fontId="0" fillId="20" borderId="33" xfId="0" applyNumberFormat="1" applyFill="1" applyBorder="1" applyAlignment="1"/>
    <xf numFmtId="0" fontId="0" fillId="18" borderId="33" xfId="0" applyFill="1" applyBorder="1" applyAlignment="1"/>
    <xf numFmtId="44" fontId="0" fillId="0" borderId="33" xfId="0" applyNumberFormat="1" applyBorder="1" applyAlignment="1">
      <alignment horizontal="center"/>
    </xf>
    <xf numFmtId="44" fontId="0" fillId="0" borderId="33" xfId="0" applyNumberFormat="1" applyFont="1" applyBorder="1" applyAlignment="1">
      <alignment horizontal="center"/>
    </xf>
    <xf numFmtId="0" fontId="0" fillId="0" borderId="20" xfId="0" applyBorder="1"/>
    <xf numFmtId="0" fontId="0" fillId="0" borderId="21" xfId="0" applyBorder="1"/>
    <xf numFmtId="49" fontId="20" fillId="14" borderId="1" xfId="0" applyNumberFormat="1" applyFont="1" applyFill="1" applyBorder="1" applyAlignment="1">
      <alignment horizontal="center"/>
    </xf>
    <xf numFmtId="164" fontId="20" fillId="0" borderId="1" xfId="0" applyNumberFormat="1" applyFont="1" applyBorder="1" applyAlignment="1">
      <alignment horizontal="center"/>
    </xf>
    <xf numFmtId="49" fontId="20" fillId="15" borderId="1" xfId="0" applyNumberFormat="1" applyFont="1" applyFill="1" applyBorder="1" applyAlignment="1">
      <alignment horizontal="center"/>
    </xf>
    <xf numFmtId="14" fontId="20" fillId="5" borderId="1" xfId="0" applyNumberFormat="1" applyFont="1" applyFill="1" applyBorder="1" applyAlignment="1">
      <alignment horizontal="center"/>
    </xf>
    <xf numFmtId="0" fontId="20" fillId="5" borderId="1" xfId="0" applyFont="1" applyFill="1" applyBorder="1"/>
    <xf numFmtId="49" fontId="20" fillId="14" borderId="1" xfId="0" applyNumberFormat="1" applyFont="1" applyFill="1" applyBorder="1" applyAlignment="1">
      <alignment horizontal="center"/>
    </xf>
    <xf numFmtId="49" fontId="20" fillId="15" borderId="1" xfId="0" applyNumberFormat="1" applyFont="1" applyFill="1" applyBorder="1" applyAlignment="1">
      <alignment horizontal="center"/>
    </xf>
    <xf numFmtId="0" fontId="20" fillId="0" borderId="1" xfId="0" applyNumberFormat="1" applyFont="1" applyBorder="1" applyAlignment="1">
      <alignment horizontal="center"/>
    </xf>
    <xf numFmtId="0" fontId="20" fillId="0" borderId="22" xfId="0" applyFont="1" applyBorder="1"/>
    <xf numFmtId="49" fontId="20" fillId="14" borderId="1" xfId="0" applyNumberFormat="1" applyFont="1" applyFill="1" applyBorder="1" applyAlignment="1" applyProtection="1">
      <alignment horizontal="center"/>
      <protection locked="0"/>
    </xf>
    <xf numFmtId="164" fontId="20" fillId="0" borderId="1" xfId="0" applyNumberFormat="1" applyFont="1" applyBorder="1" applyAlignment="1" applyProtection="1">
      <alignment horizontal="center"/>
      <protection locked="0"/>
    </xf>
    <xf numFmtId="49" fontId="20" fillId="15" borderId="1" xfId="0" applyNumberFormat="1" applyFont="1" applyFill="1" applyBorder="1" applyAlignment="1" applyProtection="1">
      <alignment horizontal="center"/>
      <protection locked="0"/>
    </xf>
    <xf numFmtId="165" fontId="20" fillId="16" borderId="1" xfId="0" applyNumberFormat="1" applyFont="1" applyFill="1" applyBorder="1" applyAlignment="1">
      <alignment horizontal="center"/>
    </xf>
    <xf numFmtId="0" fontId="20" fillId="17" borderId="1" xfId="0" applyFont="1" applyFill="1" applyBorder="1" applyAlignment="1">
      <alignment horizontal="center"/>
    </xf>
    <xf numFmtId="44" fontId="21" fillId="2" borderId="15" xfId="0" applyNumberFormat="1" applyFont="1" applyFill="1" applyBorder="1" applyAlignment="1">
      <alignment horizontal="center"/>
    </xf>
    <xf numFmtId="0" fontId="21" fillId="2" borderId="14" xfId="0" applyFont="1" applyFill="1" applyBorder="1" applyAlignment="1">
      <alignment horizontal="center"/>
    </xf>
    <xf numFmtId="0" fontId="21" fillId="2" borderId="19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3">
    <dxf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81FB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I2" fmlaRange="$V$12:$V$23" sel="5" val="4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12</xdr:col>
          <xdr:colOff>47625</xdr:colOff>
          <xdr:row>2</xdr:row>
          <xdr:rowOff>9525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EE989-B7C5-44F5-9941-57ACDF50C1D5}">
  <sheetPr codeName="Planilha1"/>
  <dimension ref="A1:AA37"/>
  <sheetViews>
    <sheetView topLeftCell="Q1" zoomScaleNormal="100" workbookViewId="0">
      <selection activeCell="Y11" sqref="W2:Y11"/>
    </sheetView>
  </sheetViews>
  <sheetFormatPr defaultRowHeight="15" x14ac:dyDescent="0.25"/>
  <cols>
    <col min="1" max="2" width="3.42578125" style="1" customWidth="1"/>
    <col min="3" max="3" width="9.140625" style="8" hidden="1" customWidth="1"/>
    <col min="4" max="5" width="3.7109375" style="1" customWidth="1"/>
    <col min="6" max="8" width="9.140625" style="8" hidden="1" customWidth="1"/>
    <col min="9" max="9" width="9.140625" style="15" customWidth="1"/>
    <col min="10" max="10" width="10.7109375" style="12" bestFit="1" customWidth="1"/>
    <col min="11" max="11" width="9.140625" style="1" customWidth="1"/>
    <col min="12" max="12" width="9.140625" style="8" customWidth="1"/>
    <col min="13" max="14" width="11.140625" style="8" customWidth="1"/>
    <col min="15" max="16" width="12.140625" style="14" customWidth="1"/>
    <col min="17" max="18" width="9.140625" customWidth="1"/>
    <col min="19" max="19" width="12.140625" customWidth="1"/>
    <col min="20" max="20" width="20.42578125" customWidth="1"/>
    <col min="21" max="21" width="6.140625" bestFit="1" customWidth="1"/>
    <col min="22" max="22" width="12.5703125" bestFit="1" customWidth="1"/>
    <col min="23" max="23" width="12" bestFit="1" customWidth="1"/>
    <col min="24" max="24" width="14.85546875" bestFit="1" customWidth="1"/>
    <col min="25" max="25" width="13.140625" bestFit="1" customWidth="1"/>
  </cols>
  <sheetData>
    <row r="1" spans="1:25" x14ac:dyDescent="0.25">
      <c r="A1" s="118" t="s">
        <v>10</v>
      </c>
      <c r="B1" s="118"/>
      <c r="D1" s="117" t="s">
        <v>8</v>
      </c>
      <c r="E1" s="117"/>
      <c r="F1" s="16"/>
      <c r="G1" s="4" t="s">
        <v>7</v>
      </c>
      <c r="H1" s="5" t="s">
        <v>8</v>
      </c>
      <c r="I1" s="17"/>
      <c r="J1" s="6"/>
      <c r="K1" s="3" t="s">
        <v>9</v>
      </c>
      <c r="L1" s="7"/>
      <c r="M1" s="7" t="s">
        <v>23</v>
      </c>
      <c r="N1" s="7" t="s">
        <v>24</v>
      </c>
      <c r="O1" s="13" t="s">
        <v>25</v>
      </c>
      <c r="P1" s="7"/>
      <c r="Q1" s="7"/>
      <c r="R1" s="7"/>
      <c r="S1" s="21" t="s">
        <v>0</v>
      </c>
      <c r="T1" s="121" t="s">
        <v>36</v>
      </c>
      <c r="U1" s="122"/>
      <c r="V1" s="37">
        <v>2285.27</v>
      </c>
      <c r="W1" s="48">
        <f>V1*1.3</f>
        <v>2970.8510000000001</v>
      </c>
      <c r="X1" s="49">
        <f>V3-V4-(U7*189.59)</f>
        <v>4011.5671460841668</v>
      </c>
      <c r="Y1" s="50"/>
    </row>
    <row r="2" spans="1:25" ht="13.5" customHeight="1" x14ac:dyDescent="0.25">
      <c r="A2" s="29" t="s">
        <v>17</v>
      </c>
      <c r="B2" s="29" t="s">
        <v>50</v>
      </c>
      <c r="C2" s="30" t="str">
        <f>IF(AND(A2&lt;&gt;"",B2&lt;&gt;""),CONCATENATE(A2,":",B2),"00:00")</f>
        <v>06:47</v>
      </c>
      <c r="D2" s="31" t="s">
        <v>13</v>
      </c>
      <c r="E2" s="31" t="s">
        <v>51</v>
      </c>
      <c r="F2" s="8" t="str">
        <f>CONCATENATE(D2,":",E2)</f>
        <v>18:46</v>
      </c>
      <c r="G2" s="4">
        <v>0.28472222222222221</v>
      </c>
      <c r="H2" s="5">
        <v>0.76736111111111116</v>
      </c>
      <c r="I2" s="17" t="str">
        <f>VLOOKUP(WEEKDAY(J2,1),$A$30:$B$36,2,0)</f>
        <v>sáb</v>
      </c>
      <c r="J2" s="40">
        <v>44429</v>
      </c>
      <c r="K2" s="9">
        <v>44428</v>
      </c>
      <c r="L2" s="10" t="str">
        <f>IF(WEEKDAY(J2,1)=6,"09:00",IF(WEEKDAY(J2,1)=7,"01:00","10:00"))</f>
        <v>01:00</v>
      </c>
      <c r="M2" s="11">
        <f>F2-C2-L2</f>
        <v>0.45763888888888887</v>
      </c>
      <c r="N2" s="11">
        <f t="shared" ref="N2:N28" si="0">IF(WEEKDAY(G2,1)=7,M2*1.7,M2*1.5)</f>
        <v>0.77798611111111104</v>
      </c>
      <c r="O2" s="39">
        <f t="shared" ref="O2:O28" si="1">N2*24*$V$2</f>
        <v>252.13972540151516</v>
      </c>
      <c r="P2" s="10" t="str">
        <f t="shared" ref="P2:P28" si="2">IF(WEEKDAY(K2,1)=6,"09:00",IF(WEEKDAY(K2,1)=7,"01:00","10:00"))</f>
        <v>09:00</v>
      </c>
      <c r="Q2" s="11">
        <f t="shared" ref="Q2:Q28" si="3">(H2-G2)-P2</f>
        <v>0.10763888888888895</v>
      </c>
      <c r="R2" s="11">
        <f t="shared" ref="R2:R28" si="4">IF(WEEKDAY(K2,1)=7,Q2*1.7,Q2*1.5)</f>
        <v>0.16145833333333343</v>
      </c>
      <c r="S2" s="21">
        <f t="shared" ref="S2:S28" si="5">R2*24*$V$2</f>
        <v>52.327489204545486</v>
      </c>
      <c r="T2" s="123" t="s">
        <v>37</v>
      </c>
      <c r="U2" s="124"/>
      <c r="V2" s="23">
        <f>W1/220</f>
        <v>13.503868181818182</v>
      </c>
      <c r="W2" s="51" t="s">
        <v>38</v>
      </c>
      <c r="X2" s="52" t="s">
        <v>2</v>
      </c>
      <c r="Y2" s="50"/>
    </row>
    <row r="3" spans="1:25" x14ac:dyDescent="0.25">
      <c r="A3" s="29" t="s">
        <v>17</v>
      </c>
      <c r="B3" s="29" t="s">
        <v>50</v>
      </c>
      <c r="C3" s="30" t="str">
        <f t="shared" ref="C3:C33" si="6">IF(AND(A3&lt;&gt;"",B3&lt;&gt;""),CONCATENATE(A3,":",B3),"00:00")</f>
        <v>06:47</v>
      </c>
      <c r="D3" s="31" t="s">
        <v>13</v>
      </c>
      <c r="E3" s="31" t="s">
        <v>52</v>
      </c>
      <c r="F3" s="8" t="str">
        <f t="shared" ref="F3:F33" si="7">CONCATENATE(D3,":",E3)</f>
        <v>18:32</v>
      </c>
      <c r="G3" s="4">
        <v>0.28750000000000003</v>
      </c>
      <c r="H3" s="5">
        <v>0.76597222222222217</v>
      </c>
      <c r="I3" s="17" t="str">
        <f t="shared" ref="I3:I28" si="8">VLOOKUP(WEEKDAY(J3,1),$A$30:$B$36,2,0)</f>
        <v>seg</v>
      </c>
      <c r="J3" s="6">
        <f>IF(WEEKDAY(J2,1)=7,J2+2,J2+1)</f>
        <v>44431</v>
      </c>
      <c r="K3" s="9">
        <f>IF(WEEKDAY(K2,1)=2,K2-2,K2-1)</f>
        <v>44427</v>
      </c>
      <c r="L3" s="10" t="str">
        <f t="shared" ref="L3:L28" si="9">IF(WEEKDAY(J3,1)=6,"09:00",IF(WEEKDAY(J3,1)=7,"01:00","10:00"))</f>
        <v>10:00</v>
      </c>
      <c r="M3" s="11">
        <f t="shared" ref="M3:M28" si="10">F3-C3-L3</f>
        <v>7.2916666666666685E-2</v>
      </c>
      <c r="N3" s="11">
        <f t="shared" si="0"/>
        <v>0.12395833333333336</v>
      </c>
      <c r="O3" s="39">
        <f t="shared" si="1"/>
        <v>40.174007840909098</v>
      </c>
      <c r="P3" s="10" t="str">
        <f t="shared" si="2"/>
        <v>10:00</v>
      </c>
      <c r="Q3" s="11">
        <f t="shared" si="3"/>
        <v>6.1805555555555447E-2</v>
      </c>
      <c r="R3" s="11">
        <f t="shared" si="4"/>
        <v>9.2708333333333171E-2</v>
      </c>
      <c r="S3" s="21">
        <f t="shared" si="5"/>
        <v>30.046106704545402</v>
      </c>
      <c r="T3" s="22" t="s">
        <v>40</v>
      </c>
      <c r="U3" s="2"/>
      <c r="V3" s="26">
        <f>W1+O31</f>
        <v>4774.0422114592802</v>
      </c>
      <c r="W3" s="53">
        <v>1100</v>
      </c>
      <c r="X3" s="54">
        <v>7.4999999999999997E-2</v>
      </c>
      <c r="Y3" s="50"/>
    </row>
    <row r="4" spans="1:25" x14ac:dyDescent="0.25">
      <c r="A4" s="29" t="s">
        <v>17</v>
      </c>
      <c r="B4" s="29" t="s">
        <v>46</v>
      </c>
      <c r="C4" s="30" t="str">
        <f t="shared" si="6"/>
        <v>06:48</v>
      </c>
      <c r="D4" s="31" t="s">
        <v>13</v>
      </c>
      <c r="E4" s="31" t="s">
        <v>60</v>
      </c>
      <c r="F4" s="8" t="str">
        <f t="shared" si="7"/>
        <v>18:53</v>
      </c>
      <c r="G4" s="4">
        <v>0.28194444444444444</v>
      </c>
      <c r="H4" s="5">
        <v>0.78402777777777777</v>
      </c>
      <c r="I4" s="17" t="str">
        <f t="shared" si="8"/>
        <v>ter</v>
      </c>
      <c r="J4" s="6">
        <f t="shared" ref="J4:J28" si="11">IF(WEEKDAY(J3,1)=7,J3+2,J3+1)</f>
        <v>44432</v>
      </c>
      <c r="K4" s="9">
        <f t="shared" ref="K4:K28" si="12">IF(WEEKDAY(K3,1)=2,K3-2,K3-1)</f>
        <v>44426</v>
      </c>
      <c r="L4" s="10" t="str">
        <f t="shared" si="9"/>
        <v>10:00</v>
      </c>
      <c r="M4" s="11">
        <f t="shared" si="10"/>
        <v>8.6805555555555525E-2</v>
      </c>
      <c r="N4" s="11">
        <f t="shared" si="0"/>
        <v>0.14756944444444439</v>
      </c>
      <c r="O4" s="39">
        <f t="shared" si="1"/>
        <v>47.826199810606042</v>
      </c>
      <c r="P4" s="10" t="str">
        <f t="shared" si="2"/>
        <v>10:00</v>
      </c>
      <c r="Q4" s="11">
        <f t="shared" si="3"/>
        <v>8.5416666666666641E-2</v>
      </c>
      <c r="R4" s="11">
        <f t="shared" si="4"/>
        <v>0.12812499999999996</v>
      </c>
      <c r="S4" s="21">
        <f t="shared" si="5"/>
        <v>41.524394659090902</v>
      </c>
      <c r="T4" s="22" t="s">
        <v>3</v>
      </c>
      <c r="U4" s="24">
        <f>IF($V$3&gt;W6,X6,IF($V$3&gt;W5,X5,IF(V3&gt;W4,X4,X3)))</f>
        <v>0.12</v>
      </c>
      <c r="V4" s="26">
        <f>V3*U4</f>
        <v>572.88506537511364</v>
      </c>
      <c r="W4" s="53">
        <v>2203.48</v>
      </c>
      <c r="X4" s="54">
        <v>0.09</v>
      </c>
      <c r="Y4" s="50"/>
    </row>
    <row r="5" spans="1:25" x14ac:dyDescent="0.25">
      <c r="A5" s="29" t="s">
        <v>17</v>
      </c>
      <c r="B5" s="29" t="s">
        <v>46</v>
      </c>
      <c r="C5" s="30" t="str">
        <f t="shared" si="6"/>
        <v>06:48</v>
      </c>
      <c r="D5" s="31" t="s">
        <v>13</v>
      </c>
      <c r="E5" s="31" t="s">
        <v>61</v>
      </c>
      <c r="F5" s="8" t="str">
        <f t="shared" si="7"/>
        <v>18:42</v>
      </c>
      <c r="G5" s="4">
        <v>0.29305555555555557</v>
      </c>
      <c r="H5" s="5">
        <v>0.78263888888888899</v>
      </c>
      <c r="I5" s="17" t="str">
        <f t="shared" si="8"/>
        <v>qua</v>
      </c>
      <c r="J5" s="6">
        <f t="shared" si="11"/>
        <v>44433</v>
      </c>
      <c r="K5" s="9">
        <f t="shared" si="12"/>
        <v>44425</v>
      </c>
      <c r="L5" s="10" t="str">
        <f t="shared" si="9"/>
        <v>10:00</v>
      </c>
      <c r="M5" s="11">
        <f>F5-C5-L5</f>
        <v>7.9166666666666663E-2</v>
      </c>
      <c r="N5" s="11">
        <f t="shared" si="0"/>
        <v>0.13458333333333333</v>
      </c>
      <c r="O5" s="39">
        <f t="shared" si="1"/>
        <v>43.617494227272729</v>
      </c>
      <c r="P5" s="10" t="str">
        <f t="shared" si="2"/>
        <v>10:00</v>
      </c>
      <c r="Q5" s="11">
        <f t="shared" si="3"/>
        <v>7.2916666666666741E-2</v>
      </c>
      <c r="R5" s="11">
        <f t="shared" si="4"/>
        <v>0.10937500000000011</v>
      </c>
      <c r="S5" s="21">
        <f t="shared" si="5"/>
        <v>35.447653977272765</v>
      </c>
      <c r="T5" s="22" t="s">
        <v>4</v>
      </c>
      <c r="U5" s="25">
        <f>IF(X1&gt;X11,W11,IF(X1&gt;X10,W10,IF(X1&gt;X9,W9,W8)))</f>
        <v>0.22500000000000001</v>
      </c>
      <c r="V5" s="23">
        <f>X1*U5-VLOOKUP(U5,$W$8:$Y$11,3,0)</f>
        <v>266.47260786893753</v>
      </c>
      <c r="W5" s="53">
        <v>3305.22</v>
      </c>
      <c r="X5" s="54">
        <v>0.12</v>
      </c>
      <c r="Y5" s="50"/>
    </row>
    <row r="6" spans="1:25" x14ac:dyDescent="0.25">
      <c r="A6" s="29" t="s">
        <v>17</v>
      </c>
      <c r="B6" s="29" t="s">
        <v>50</v>
      </c>
      <c r="C6" s="30" t="str">
        <f t="shared" si="6"/>
        <v>06:47</v>
      </c>
      <c r="D6" s="31" t="s">
        <v>13</v>
      </c>
      <c r="E6" s="31" t="s">
        <v>57</v>
      </c>
      <c r="F6" s="8" t="str">
        <f t="shared" si="7"/>
        <v>18:59</v>
      </c>
      <c r="G6" s="4">
        <v>0.2951388888888889</v>
      </c>
      <c r="H6" s="5">
        <v>0.7680555555555556</v>
      </c>
      <c r="I6" s="17" t="str">
        <f t="shared" si="8"/>
        <v>qui</v>
      </c>
      <c r="J6" s="6">
        <f t="shared" si="11"/>
        <v>44434</v>
      </c>
      <c r="K6" s="9">
        <f t="shared" si="12"/>
        <v>44424</v>
      </c>
      <c r="L6" s="10" t="str">
        <f t="shared" si="9"/>
        <v>10:00</v>
      </c>
      <c r="M6" s="11">
        <f t="shared" si="10"/>
        <v>9.166666666666673E-2</v>
      </c>
      <c r="N6" s="11">
        <f t="shared" si="0"/>
        <v>0.15583333333333343</v>
      </c>
      <c r="O6" s="39">
        <f t="shared" si="1"/>
        <v>50.504467000000034</v>
      </c>
      <c r="P6" s="10" t="str">
        <f t="shared" si="2"/>
        <v>10:00</v>
      </c>
      <c r="Q6" s="11">
        <f t="shared" si="3"/>
        <v>5.6250000000000022E-2</v>
      </c>
      <c r="R6" s="11">
        <f t="shared" si="4"/>
        <v>8.4375000000000033E-2</v>
      </c>
      <c r="S6" s="21">
        <f t="shared" si="5"/>
        <v>27.34533306818183</v>
      </c>
      <c r="T6" s="22" t="s">
        <v>43</v>
      </c>
      <c r="U6" s="2"/>
      <c r="V6" s="28">
        <f>V3-V4-V5</f>
        <v>3934.6845382152296</v>
      </c>
      <c r="W6" s="53">
        <v>6433.57</v>
      </c>
      <c r="X6" s="54">
        <v>0.14000000000000001</v>
      </c>
      <c r="Y6" s="50"/>
    </row>
    <row r="7" spans="1:25" ht="15.75" customHeight="1" thickBot="1" x14ac:dyDescent="0.3">
      <c r="A7" s="29" t="s">
        <v>17</v>
      </c>
      <c r="B7" s="29" t="s">
        <v>46</v>
      </c>
      <c r="C7" s="30" t="str">
        <f t="shared" si="6"/>
        <v>06:48</v>
      </c>
      <c r="D7" s="31" t="s">
        <v>13</v>
      </c>
      <c r="E7" s="31" t="s">
        <v>62</v>
      </c>
      <c r="F7" s="8" t="str">
        <f t="shared" si="7"/>
        <v>18:09</v>
      </c>
      <c r="G7" s="4">
        <v>0.28472222222222221</v>
      </c>
      <c r="H7" s="5">
        <v>0.49722222222222223</v>
      </c>
      <c r="I7" s="17" t="str">
        <f t="shared" si="8"/>
        <v>sex</v>
      </c>
      <c r="J7" s="6">
        <f t="shared" si="11"/>
        <v>44435</v>
      </c>
      <c r="K7" s="9">
        <f t="shared" si="12"/>
        <v>44422</v>
      </c>
      <c r="L7" s="10" t="str">
        <f t="shared" si="9"/>
        <v>09:00</v>
      </c>
      <c r="M7" s="11">
        <f t="shared" si="10"/>
        <v>9.7916666666666652E-2</v>
      </c>
      <c r="N7" s="11">
        <f t="shared" si="0"/>
        <v>0.16645833333333329</v>
      </c>
      <c r="O7" s="39">
        <f t="shared" si="1"/>
        <v>53.947953386363629</v>
      </c>
      <c r="P7" s="10" t="str">
        <f t="shared" si="2"/>
        <v>01:00</v>
      </c>
      <c r="Q7" s="11">
        <f t="shared" si="3"/>
        <v>0.17083333333333336</v>
      </c>
      <c r="R7" s="11">
        <f t="shared" si="4"/>
        <v>0.29041666666666671</v>
      </c>
      <c r="S7" s="21">
        <f t="shared" si="5"/>
        <v>94.121961227272735</v>
      </c>
      <c r="T7" s="38" t="s">
        <v>41</v>
      </c>
      <c r="U7" s="119">
        <v>1</v>
      </c>
      <c r="V7" s="120"/>
      <c r="W7" s="55" t="s">
        <v>42</v>
      </c>
      <c r="X7" s="55" t="s">
        <v>39</v>
      </c>
      <c r="Y7" s="56" t="s">
        <v>6</v>
      </c>
    </row>
    <row r="8" spans="1:25" ht="15.75" thickBot="1" x14ac:dyDescent="0.3">
      <c r="A8" s="29" t="s">
        <v>17</v>
      </c>
      <c r="B8" s="29" t="s">
        <v>46</v>
      </c>
      <c r="C8" s="30" t="str">
        <f t="shared" si="6"/>
        <v>06:48</v>
      </c>
      <c r="D8" s="31" t="s">
        <v>15</v>
      </c>
      <c r="E8" s="31" t="s">
        <v>63</v>
      </c>
      <c r="F8" s="8" t="str">
        <f t="shared" si="7"/>
        <v>16:41</v>
      </c>
      <c r="G8" s="4">
        <v>0.28402777777777777</v>
      </c>
      <c r="H8" s="5">
        <v>0.76180555555555562</v>
      </c>
      <c r="I8" s="17" t="str">
        <f t="shared" si="8"/>
        <v>sáb</v>
      </c>
      <c r="J8" s="6">
        <f t="shared" si="11"/>
        <v>44436</v>
      </c>
      <c r="K8" s="9">
        <f t="shared" si="12"/>
        <v>44421</v>
      </c>
      <c r="L8" s="10" t="str">
        <f t="shared" si="9"/>
        <v>01:00</v>
      </c>
      <c r="M8" s="11">
        <f t="shared" si="10"/>
        <v>0.37013888888888885</v>
      </c>
      <c r="N8" s="11">
        <f t="shared" si="0"/>
        <v>0.629236111111111</v>
      </c>
      <c r="O8" s="39">
        <f t="shared" si="1"/>
        <v>203.93091599242419</v>
      </c>
      <c r="P8" s="10" t="str">
        <f t="shared" si="2"/>
        <v>09:00</v>
      </c>
      <c r="Q8" s="11">
        <f t="shared" si="3"/>
        <v>0.10277777777777786</v>
      </c>
      <c r="R8" s="11">
        <f t="shared" si="4"/>
        <v>0.15416666666666679</v>
      </c>
      <c r="S8" s="13">
        <f t="shared" si="5"/>
        <v>49.964312272727312</v>
      </c>
      <c r="W8" s="57">
        <v>7.4999999999999997E-2</v>
      </c>
      <c r="X8" s="58">
        <v>1903.98</v>
      </c>
      <c r="Y8" s="58">
        <v>142.80000000000001</v>
      </c>
    </row>
    <row r="9" spans="1:25" x14ac:dyDescent="0.25">
      <c r="A9" s="29" t="s">
        <v>17</v>
      </c>
      <c r="B9" s="29" t="s">
        <v>49</v>
      </c>
      <c r="C9" s="30" t="str">
        <f t="shared" si="6"/>
        <v>06:49</v>
      </c>
      <c r="D9" s="31" t="s">
        <v>13</v>
      </c>
      <c r="E9" s="31" t="s">
        <v>64</v>
      </c>
      <c r="F9" s="8" t="str">
        <f t="shared" si="7"/>
        <v>18:27</v>
      </c>
      <c r="G9" s="4">
        <v>0.29652777777777778</v>
      </c>
      <c r="H9" s="5">
        <v>0.77638888888888891</v>
      </c>
      <c r="I9" s="17" t="str">
        <f t="shared" si="8"/>
        <v>seg</v>
      </c>
      <c r="J9" s="6">
        <f t="shared" si="11"/>
        <v>44438</v>
      </c>
      <c r="K9" s="9">
        <f t="shared" si="12"/>
        <v>44420</v>
      </c>
      <c r="L9" s="10" t="str">
        <f t="shared" si="9"/>
        <v>10:00</v>
      </c>
      <c r="M9" s="11">
        <f t="shared" si="10"/>
        <v>6.805555555555548E-2</v>
      </c>
      <c r="N9" s="11">
        <f t="shared" si="0"/>
        <v>0.11569444444444431</v>
      </c>
      <c r="O9" s="39">
        <f t="shared" si="1"/>
        <v>37.495740651515106</v>
      </c>
      <c r="P9" s="10" t="str">
        <f t="shared" si="2"/>
        <v>10:00</v>
      </c>
      <c r="Q9" s="11">
        <f t="shared" si="3"/>
        <v>6.3194444444444442E-2</v>
      </c>
      <c r="R9" s="11">
        <f t="shared" si="4"/>
        <v>9.4791666666666663E-2</v>
      </c>
      <c r="S9" s="21">
        <f t="shared" si="5"/>
        <v>30.721300113636364</v>
      </c>
      <c r="T9" s="108" t="s">
        <v>53</v>
      </c>
      <c r="U9" s="109"/>
      <c r="V9" s="110"/>
      <c r="W9" s="59">
        <v>0.15</v>
      </c>
      <c r="X9" s="58">
        <v>2826.65</v>
      </c>
      <c r="Y9" s="58">
        <v>354.8</v>
      </c>
    </row>
    <row r="10" spans="1:25" x14ac:dyDescent="0.25">
      <c r="A10" s="29" t="s">
        <v>17</v>
      </c>
      <c r="B10" s="29" t="s">
        <v>44</v>
      </c>
      <c r="C10" s="30" t="str">
        <f t="shared" si="6"/>
        <v>06:50</v>
      </c>
      <c r="D10" s="31" t="s">
        <v>13</v>
      </c>
      <c r="E10" s="31" t="s">
        <v>49</v>
      </c>
      <c r="F10" s="8" t="str">
        <f t="shared" si="7"/>
        <v>18:49</v>
      </c>
      <c r="G10" s="4">
        <v>0.28333333333333333</v>
      </c>
      <c r="H10" s="5">
        <v>0.77430555555555547</v>
      </c>
      <c r="I10" s="17" t="str">
        <f t="shared" si="8"/>
        <v>ter</v>
      </c>
      <c r="J10" s="6">
        <f t="shared" si="11"/>
        <v>44439</v>
      </c>
      <c r="K10" s="9">
        <f t="shared" si="12"/>
        <v>44419</v>
      </c>
      <c r="L10" s="10" t="str">
        <f t="shared" si="9"/>
        <v>10:00</v>
      </c>
      <c r="M10" s="11">
        <f t="shared" si="10"/>
        <v>8.2638888888888873E-2</v>
      </c>
      <c r="N10" s="11">
        <f t="shared" si="0"/>
        <v>0.14048611111111109</v>
      </c>
      <c r="O10" s="39">
        <f t="shared" si="1"/>
        <v>45.530542219696962</v>
      </c>
      <c r="P10" s="10" t="str">
        <f t="shared" si="2"/>
        <v>10:00</v>
      </c>
      <c r="Q10" s="11">
        <f t="shared" si="3"/>
        <v>7.4305555555555458E-2</v>
      </c>
      <c r="R10" s="11">
        <f t="shared" si="4"/>
        <v>0.11145833333333319</v>
      </c>
      <c r="S10" s="21">
        <f t="shared" si="5"/>
        <v>36.122847386363588</v>
      </c>
      <c r="T10" s="111"/>
      <c r="U10" s="112"/>
      <c r="V10" s="113"/>
      <c r="W10" s="57">
        <v>0.22500000000000001</v>
      </c>
      <c r="X10" s="58">
        <v>3751.05</v>
      </c>
      <c r="Y10" s="58">
        <v>636.13</v>
      </c>
    </row>
    <row r="11" spans="1:25" ht="15.75" thickBot="1" x14ac:dyDescent="0.3">
      <c r="A11" s="29" t="s">
        <v>17</v>
      </c>
      <c r="B11" s="29" t="s">
        <v>49</v>
      </c>
      <c r="C11" s="30" t="str">
        <f t="shared" si="6"/>
        <v>06:49</v>
      </c>
      <c r="D11" s="31" t="s">
        <v>13</v>
      </c>
      <c r="E11" s="31" t="s">
        <v>65</v>
      </c>
      <c r="F11" s="8" t="str">
        <f t="shared" si="7"/>
        <v>18:25</v>
      </c>
      <c r="G11" s="4">
        <v>0.28263888888888888</v>
      </c>
      <c r="H11" s="5">
        <v>0.78194444444444444</v>
      </c>
      <c r="I11" s="17" t="str">
        <f t="shared" si="8"/>
        <v>qua</v>
      </c>
      <c r="J11" s="6">
        <f t="shared" si="11"/>
        <v>44440</v>
      </c>
      <c r="K11" s="9">
        <f t="shared" si="12"/>
        <v>44418</v>
      </c>
      <c r="L11" s="10" t="str">
        <f t="shared" si="9"/>
        <v>10:00</v>
      </c>
      <c r="M11" s="11">
        <f t="shared" si="10"/>
        <v>6.6666666666666707E-2</v>
      </c>
      <c r="N11" s="11">
        <f t="shared" si="0"/>
        <v>0.1133333333333334</v>
      </c>
      <c r="O11" s="39">
        <f t="shared" si="1"/>
        <v>36.730521454545475</v>
      </c>
      <c r="P11" s="10" t="str">
        <f t="shared" si="2"/>
        <v>10:00</v>
      </c>
      <c r="Q11" s="11">
        <f t="shared" si="3"/>
        <v>8.2638888888888873E-2</v>
      </c>
      <c r="R11" s="11">
        <f t="shared" si="4"/>
        <v>0.12395833333333331</v>
      </c>
      <c r="S11" s="21">
        <f t="shared" si="5"/>
        <v>40.174007840909091</v>
      </c>
      <c r="T11" s="114"/>
      <c r="U11" s="115"/>
      <c r="V11" s="116"/>
      <c r="W11" s="57">
        <v>0.27500000000000002</v>
      </c>
      <c r="X11" s="58">
        <v>4664.68</v>
      </c>
      <c r="Y11" s="58">
        <v>869.36</v>
      </c>
    </row>
    <row r="12" spans="1:25" x14ac:dyDescent="0.25">
      <c r="A12" s="29" t="s">
        <v>17</v>
      </c>
      <c r="B12" s="29" t="s">
        <v>46</v>
      </c>
      <c r="C12" s="30" t="str">
        <f t="shared" si="6"/>
        <v>06:48</v>
      </c>
      <c r="D12" s="31" t="s">
        <v>13</v>
      </c>
      <c r="E12" s="31" t="s">
        <v>59</v>
      </c>
      <c r="F12" s="8" t="str">
        <f t="shared" si="7"/>
        <v>18:34</v>
      </c>
      <c r="G12" s="4">
        <v>0.28402777777777777</v>
      </c>
      <c r="H12" s="5">
        <v>0.79305555555555562</v>
      </c>
      <c r="I12" s="17" t="str">
        <f t="shared" si="8"/>
        <v>qui</v>
      </c>
      <c r="J12" s="6">
        <f t="shared" si="11"/>
        <v>44441</v>
      </c>
      <c r="K12" s="9">
        <f t="shared" si="12"/>
        <v>44417</v>
      </c>
      <c r="L12" s="10" t="str">
        <f t="shared" si="9"/>
        <v>10:00</v>
      </c>
      <c r="M12" s="11">
        <f t="shared" si="10"/>
        <v>7.3611111111111127E-2</v>
      </c>
      <c r="N12" s="11">
        <f t="shared" si="0"/>
        <v>0.12513888888888891</v>
      </c>
      <c r="O12" s="39">
        <f t="shared" si="1"/>
        <v>40.556617439393946</v>
      </c>
      <c r="P12" s="10" t="str">
        <f t="shared" si="2"/>
        <v>10:00</v>
      </c>
      <c r="Q12" s="11">
        <f t="shared" si="3"/>
        <v>9.2361111111111172E-2</v>
      </c>
      <c r="R12" s="11">
        <f t="shared" si="4"/>
        <v>0.13854166666666676</v>
      </c>
      <c r="S12" s="13">
        <f t="shared" si="5"/>
        <v>44.900361704545482</v>
      </c>
      <c r="W12" s="60"/>
      <c r="X12" s="60"/>
      <c r="Y12" s="60"/>
    </row>
    <row r="13" spans="1:25" x14ac:dyDescent="0.25">
      <c r="A13" s="29" t="s">
        <v>17</v>
      </c>
      <c r="B13" s="29" t="s">
        <v>49</v>
      </c>
      <c r="C13" s="30" t="str">
        <f t="shared" si="6"/>
        <v>06:49</v>
      </c>
      <c r="D13" s="31" t="s">
        <v>14</v>
      </c>
      <c r="E13" s="31" t="s">
        <v>45</v>
      </c>
      <c r="F13" s="8" t="str">
        <f t="shared" si="7"/>
        <v>17:45</v>
      </c>
      <c r="G13" s="4">
        <v>0.28611111111111115</v>
      </c>
      <c r="H13" s="5">
        <v>0.54166666666666663</v>
      </c>
      <c r="I13" s="17" t="str">
        <f t="shared" si="8"/>
        <v>sex</v>
      </c>
      <c r="J13" s="6">
        <f t="shared" si="11"/>
        <v>44442</v>
      </c>
      <c r="K13" s="9">
        <f t="shared" si="12"/>
        <v>44415</v>
      </c>
      <c r="L13" s="10" t="str">
        <f t="shared" si="9"/>
        <v>09:00</v>
      </c>
      <c r="M13" s="11">
        <f t="shared" si="10"/>
        <v>8.0555555555555602E-2</v>
      </c>
      <c r="N13" s="11">
        <f t="shared" si="0"/>
        <v>0.13694444444444451</v>
      </c>
      <c r="O13" s="39">
        <f t="shared" si="1"/>
        <v>44.382713424242446</v>
      </c>
      <c r="P13" s="10" t="str">
        <f t="shared" si="2"/>
        <v>01:00</v>
      </c>
      <c r="Q13" s="11">
        <f t="shared" si="3"/>
        <v>0.21388888888888882</v>
      </c>
      <c r="R13" s="11">
        <f t="shared" si="4"/>
        <v>0.363611111111111</v>
      </c>
      <c r="S13" s="13">
        <f t="shared" si="5"/>
        <v>117.84375633333329</v>
      </c>
    </row>
    <row r="14" spans="1:25" x14ac:dyDescent="0.25">
      <c r="A14" s="29" t="s">
        <v>17</v>
      </c>
      <c r="B14" s="29" t="s">
        <v>46</v>
      </c>
      <c r="C14" s="30" t="str">
        <f t="shared" si="6"/>
        <v>06:48</v>
      </c>
      <c r="D14" s="31" t="s">
        <v>15</v>
      </c>
      <c r="E14" s="31" t="s">
        <v>54</v>
      </c>
      <c r="F14" s="8" t="str">
        <f t="shared" si="7"/>
        <v>16:57</v>
      </c>
      <c r="G14" s="4">
        <v>0.28472222222222221</v>
      </c>
      <c r="H14" s="5">
        <v>0.76388888888888884</v>
      </c>
      <c r="I14" s="17" t="str">
        <f t="shared" si="8"/>
        <v>sáb</v>
      </c>
      <c r="J14" s="6">
        <f t="shared" si="11"/>
        <v>44443</v>
      </c>
      <c r="K14" s="9">
        <f t="shared" si="12"/>
        <v>44414</v>
      </c>
      <c r="L14" s="10" t="str">
        <f t="shared" si="9"/>
        <v>01:00</v>
      </c>
      <c r="M14" s="11">
        <f t="shared" si="10"/>
        <v>0.38124999999999992</v>
      </c>
      <c r="N14" s="11">
        <f t="shared" si="0"/>
        <v>0.64812499999999984</v>
      </c>
      <c r="O14" s="39">
        <f t="shared" si="1"/>
        <v>210.05266956818178</v>
      </c>
      <c r="P14" s="10" t="str">
        <f t="shared" si="2"/>
        <v>09:00</v>
      </c>
      <c r="Q14" s="11">
        <f t="shared" si="3"/>
        <v>0.10416666666666663</v>
      </c>
      <c r="R14" s="11">
        <f t="shared" si="4"/>
        <v>0.15624999999999994</v>
      </c>
      <c r="S14" s="13">
        <f t="shared" si="5"/>
        <v>50.639505681818164</v>
      </c>
    </row>
    <row r="15" spans="1:25" x14ac:dyDescent="0.25">
      <c r="A15" s="29" t="s">
        <v>16</v>
      </c>
      <c r="B15" s="29" t="s">
        <v>21</v>
      </c>
      <c r="C15" s="30" t="str">
        <f t="shared" si="6"/>
        <v>07:03</v>
      </c>
      <c r="D15" s="31" t="s">
        <v>14</v>
      </c>
      <c r="E15" s="31" t="s">
        <v>54</v>
      </c>
      <c r="F15" s="8" t="str">
        <f t="shared" si="7"/>
        <v>17:57</v>
      </c>
      <c r="G15" s="4">
        <v>0.28611111111111115</v>
      </c>
      <c r="H15" s="5">
        <v>0.76874999999999993</v>
      </c>
      <c r="I15" s="17" t="str">
        <f t="shared" si="8"/>
        <v>seg</v>
      </c>
      <c r="J15" s="6">
        <f t="shared" si="11"/>
        <v>44445</v>
      </c>
      <c r="K15" s="9">
        <f t="shared" si="12"/>
        <v>44413</v>
      </c>
      <c r="L15" s="10" t="str">
        <f t="shared" si="9"/>
        <v>10:00</v>
      </c>
      <c r="M15" s="11">
        <f t="shared" si="10"/>
        <v>3.7499999999999978E-2</v>
      </c>
      <c r="N15" s="11">
        <f t="shared" si="0"/>
        <v>6.3749999999999959E-2</v>
      </c>
      <c r="O15" s="39">
        <f t="shared" si="1"/>
        <v>20.660918318181803</v>
      </c>
      <c r="P15" s="10" t="str">
        <f t="shared" si="2"/>
        <v>10:00</v>
      </c>
      <c r="Q15" s="11">
        <f t="shared" si="3"/>
        <v>6.5972222222222099E-2</v>
      </c>
      <c r="R15" s="11">
        <f t="shared" si="4"/>
        <v>9.8958333333333148E-2</v>
      </c>
      <c r="S15" s="13">
        <f t="shared" si="5"/>
        <v>32.071686931818121</v>
      </c>
    </row>
    <row r="16" spans="1:25" x14ac:dyDescent="0.25">
      <c r="A16" s="29" t="s">
        <v>16</v>
      </c>
      <c r="B16" s="29" t="s">
        <v>21</v>
      </c>
      <c r="C16" s="30" t="str">
        <f t="shared" si="6"/>
        <v>07:03</v>
      </c>
      <c r="D16" s="31" t="s">
        <v>12</v>
      </c>
      <c r="E16" s="31" t="s">
        <v>16</v>
      </c>
      <c r="F16" s="8" t="str">
        <f t="shared" si="7"/>
        <v>19:07</v>
      </c>
      <c r="G16" s="4">
        <v>0.28888888888888892</v>
      </c>
      <c r="H16" s="5">
        <v>0.77777777777777779</v>
      </c>
      <c r="I16" s="17" t="str">
        <f t="shared" si="8"/>
        <v>ter</v>
      </c>
      <c r="J16" s="6">
        <f t="shared" si="11"/>
        <v>44446</v>
      </c>
      <c r="K16" s="9">
        <f t="shared" si="12"/>
        <v>44412</v>
      </c>
      <c r="L16" s="10" t="str">
        <f t="shared" si="9"/>
        <v>10:00</v>
      </c>
      <c r="M16" s="11">
        <f t="shared" si="10"/>
        <v>8.6111111111111083E-2</v>
      </c>
      <c r="N16" s="11">
        <f t="shared" si="0"/>
        <v>0.14638888888888885</v>
      </c>
      <c r="O16" s="39">
        <f t="shared" si="1"/>
        <v>47.443590212121201</v>
      </c>
      <c r="P16" s="10" t="str">
        <f t="shared" si="2"/>
        <v>10:00</v>
      </c>
      <c r="Q16" s="11">
        <f t="shared" si="3"/>
        <v>7.2222222222222188E-2</v>
      </c>
      <c r="R16" s="11">
        <f t="shared" si="4"/>
        <v>0.10833333333333328</v>
      </c>
      <c r="S16" s="13">
        <f t="shared" si="5"/>
        <v>35.110057272727261</v>
      </c>
    </row>
    <row r="17" spans="1:27" x14ac:dyDescent="0.25">
      <c r="A17" s="29" t="s">
        <v>11</v>
      </c>
      <c r="B17" s="29" t="s">
        <v>11</v>
      </c>
      <c r="C17" s="30" t="str">
        <f t="shared" si="6"/>
        <v>00:00</v>
      </c>
      <c r="D17" s="31" t="s">
        <v>19</v>
      </c>
      <c r="E17" s="31" t="s">
        <v>11</v>
      </c>
      <c r="F17" s="8" t="str">
        <f t="shared" si="7"/>
        <v>01:00</v>
      </c>
      <c r="G17" s="4">
        <v>0.28472222222222221</v>
      </c>
      <c r="H17" s="5">
        <v>0.7729166666666667</v>
      </c>
      <c r="I17" s="17" t="str">
        <f t="shared" si="8"/>
        <v>qua</v>
      </c>
      <c r="J17" s="6">
        <f t="shared" si="11"/>
        <v>44447</v>
      </c>
      <c r="K17" s="9">
        <f t="shared" si="12"/>
        <v>44411</v>
      </c>
      <c r="L17" s="10" t="str">
        <f t="shared" si="9"/>
        <v>10:00</v>
      </c>
      <c r="M17" s="11">
        <f t="shared" si="10"/>
        <v>-0.375</v>
      </c>
      <c r="N17" s="11">
        <f t="shared" si="0"/>
        <v>-0.63749999999999996</v>
      </c>
      <c r="O17" s="39">
        <f t="shared" si="1"/>
        <v>-206.60918318181817</v>
      </c>
      <c r="P17" s="10" t="str">
        <f t="shared" si="2"/>
        <v>10:00</v>
      </c>
      <c r="Q17" s="11">
        <f t="shared" si="3"/>
        <v>7.1527777777777801E-2</v>
      </c>
      <c r="R17" s="11">
        <f t="shared" si="4"/>
        <v>0.1072916666666667</v>
      </c>
      <c r="S17" s="13">
        <f t="shared" si="5"/>
        <v>34.772460568181835</v>
      </c>
      <c r="T17" s="61">
        <f>_xlfn.DAYS(J28,J2)+1</f>
        <v>32</v>
      </c>
      <c r="U17" s="20"/>
    </row>
    <row r="18" spans="1:27" x14ac:dyDescent="0.25">
      <c r="A18" s="29" t="s">
        <v>17</v>
      </c>
      <c r="B18" s="29" t="s">
        <v>44</v>
      </c>
      <c r="C18" s="30" t="str">
        <f t="shared" si="6"/>
        <v>06:50</v>
      </c>
      <c r="D18" s="31" t="s">
        <v>14</v>
      </c>
      <c r="E18" s="31" t="s">
        <v>52</v>
      </c>
      <c r="F18" s="8" t="str">
        <f t="shared" si="7"/>
        <v>17:32</v>
      </c>
      <c r="G18" s="4">
        <v>0.28680555555555554</v>
      </c>
      <c r="H18" s="5">
        <v>0.75138888888888899</v>
      </c>
      <c r="I18" s="17" t="str">
        <f t="shared" si="8"/>
        <v>qui</v>
      </c>
      <c r="J18" s="6">
        <f t="shared" si="11"/>
        <v>44448</v>
      </c>
      <c r="K18" s="9">
        <f t="shared" si="12"/>
        <v>44410</v>
      </c>
      <c r="L18" s="10" t="str">
        <f t="shared" si="9"/>
        <v>10:00</v>
      </c>
      <c r="M18" s="11">
        <f t="shared" si="10"/>
        <v>2.916666666666673E-2</v>
      </c>
      <c r="N18" s="11">
        <f t="shared" si="0"/>
        <v>4.9583333333333438E-2</v>
      </c>
      <c r="O18" s="39">
        <f t="shared" si="1"/>
        <v>16.069603136363671</v>
      </c>
      <c r="P18" s="10" t="str">
        <f t="shared" si="2"/>
        <v>10:00</v>
      </c>
      <c r="Q18" s="11">
        <f t="shared" si="3"/>
        <v>4.7916666666666774E-2</v>
      </c>
      <c r="R18" s="11">
        <f t="shared" si="4"/>
        <v>7.1875000000000161E-2</v>
      </c>
      <c r="S18" s="13">
        <f t="shared" si="5"/>
        <v>23.294172613636416</v>
      </c>
    </row>
    <row r="19" spans="1:27" x14ac:dyDescent="0.25">
      <c r="A19" s="29" t="s">
        <v>17</v>
      </c>
      <c r="B19" s="29" t="s">
        <v>49</v>
      </c>
      <c r="C19" s="30" t="str">
        <f t="shared" si="6"/>
        <v>06:49</v>
      </c>
      <c r="D19" s="31" t="s">
        <v>14</v>
      </c>
      <c r="E19" s="31" t="s">
        <v>18</v>
      </c>
      <c r="F19" s="8" t="str">
        <f t="shared" si="7"/>
        <v>17:55</v>
      </c>
      <c r="G19" s="4">
        <v>0.28541666666666665</v>
      </c>
      <c r="H19" s="5">
        <v>0.68888888888888899</v>
      </c>
      <c r="I19" s="17" t="str">
        <f t="shared" si="8"/>
        <v>sex</v>
      </c>
      <c r="J19" s="6">
        <f t="shared" si="11"/>
        <v>44449</v>
      </c>
      <c r="K19" s="9">
        <f t="shared" si="12"/>
        <v>44408</v>
      </c>
      <c r="L19" s="10" t="str">
        <f t="shared" si="9"/>
        <v>09:00</v>
      </c>
      <c r="M19" s="11">
        <f t="shared" si="10"/>
        <v>8.7500000000000022E-2</v>
      </c>
      <c r="N19" s="11">
        <f t="shared" si="0"/>
        <v>0.14875000000000002</v>
      </c>
      <c r="O19" s="39">
        <f t="shared" si="1"/>
        <v>48.208809409090918</v>
      </c>
      <c r="P19" s="10" t="str">
        <f t="shared" si="2"/>
        <v>01:00</v>
      </c>
      <c r="Q19" s="11">
        <f t="shared" si="3"/>
        <v>0.36180555555555566</v>
      </c>
      <c r="R19" s="11">
        <f t="shared" si="4"/>
        <v>0.61506944444444456</v>
      </c>
      <c r="S19" s="13">
        <f t="shared" si="5"/>
        <v>199.33960081060613</v>
      </c>
    </row>
    <row r="20" spans="1:27" x14ac:dyDescent="0.25">
      <c r="A20" s="29" t="s">
        <v>17</v>
      </c>
      <c r="B20" s="29" t="s">
        <v>54</v>
      </c>
      <c r="C20" s="30" t="str">
        <f t="shared" si="6"/>
        <v>06:57</v>
      </c>
      <c r="D20" s="31" t="s">
        <v>13</v>
      </c>
      <c r="E20" s="31" t="s">
        <v>22</v>
      </c>
      <c r="F20" s="8" t="str">
        <f t="shared" si="7"/>
        <v>18:04</v>
      </c>
      <c r="G20" s="4">
        <v>0.28472222222222221</v>
      </c>
      <c r="H20" s="5">
        <v>0.7909722222222223</v>
      </c>
      <c r="I20" s="17" t="str">
        <f t="shared" si="8"/>
        <v>sáb</v>
      </c>
      <c r="J20" s="6">
        <f t="shared" si="11"/>
        <v>44450</v>
      </c>
      <c r="K20" s="9">
        <f t="shared" si="12"/>
        <v>44407</v>
      </c>
      <c r="L20" s="10" t="str">
        <f t="shared" si="9"/>
        <v>01:00</v>
      </c>
      <c r="M20" s="11">
        <f t="shared" si="10"/>
        <v>0.42152777777777772</v>
      </c>
      <c r="N20" s="11">
        <f t="shared" si="0"/>
        <v>0.71659722222222211</v>
      </c>
      <c r="O20" s="39">
        <f t="shared" si="1"/>
        <v>232.24402628030302</v>
      </c>
      <c r="P20" s="10" t="str">
        <f t="shared" si="2"/>
        <v>09:00</v>
      </c>
      <c r="Q20" s="11">
        <f t="shared" si="3"/>
        <v>0.13125000000000009</v>
      </c>
      <c r="R20" s="11">
        <f t="shared" si="4"/>
        <v>0.19687500000000013</v>
      </c>
      <c r="S20" s="13">
        <f t="shared" si="5"/>
        <v>63.805777159090958</v>
      </c>
    </row>
    <row r="21" spans="1:27" x14ac:dyDescent="0.25">
      <c r="A21" s="29" t="s">
        <v>17</v>
      </c>
      <c r="B21" s="29" t="s">
        <v>57</v>
      </c>
      <c r="C21" s="30" t="str">
        <f t="shared" si="6"/>
        <v>06:59</v>
      </c>
      <c r="D21" s="31" t="s">
        <v>14</v>
      </c>
      <c r="E21" s="31" t="s">
        <v>58</v>
      </c>
      <c r="F21" s="8" t="str">
        <f t="shared" si="7"/>
        <v>17:40</v>
      </c>
      <c r="G21" s="4">
        <v>0.28402777777777777</v>
      </c>
      <c r="H21" s="5">
        <v>0.78194444444444444</v>
      </c>
      <c r="I21" s="17" t="str">
        <f t="shared" si="8"/>
        <v>seg</v>
      </c>
      <c r="J21" s="6">
        <f t="shared" si="11"/>
        <v>44452</v>
      </c>
      <c r="K21" s="9">
        <f t="shared" si="12"/>
        <v>44406</v>
      </c>
      <c r="L21" s="10" t="str">
        <f t="shared" si="9"/>
        <v>10:00</v>
      </c>
      <c r="M21" s="11">
        <f t="shared" si="10"/>
        <v>2.8472222222222232E-2</v>
      </c>
      <c r="N21" s="11">
        <f t="shared" si="0"/>
        <v>4.8402777777777795E-2</v>
      </c>
      <c r="O21" s="39">
        <f t="shared" si="1"/>
        <v>15.686993537878793</v>
      </c>
      <c r="P21" s="10" t="str">
        <f t="shared" si="2"/>
        <v>10:00</v>
      </c>
      <c r="Q21" s="11">
        <f t="shared" si="3"/>
        <v>8.1249999999999989E-2</v>
      </c>
      <c r="R21" s="11">
        <f t="shared" si="4"/>
        <v>0.12187499999999998</v>
      </c>
      <c r="S21" s="13">
        <f t="shared" si="5"/>
        <v>39.498814431818182</v>
      </c>
    </row>
    <row r="22" spans="1:27" x14ac:dyDescent="0.25">
      <c r="A22" s="29" t="s">
        <v>16</v>
      </c>
      <c r="B22" s="29" t="s">
        <v>11</v>
      </c>
      <c r="C22" s="30" t="str">
        <f t="shared" si="6"/>
        <v>07:00</v>
      </c>
      <c r="D22" s="31" t="s">
        <v>15</v>
      </c>
      <c r="E22" s="31" t="s">
        <v>55</v>
      </c>
      <c r="F22" s="8" t="str">
        <f t="shared" si="7"/>
        <v>16:33</v>
      </c>
      <c r="G22" s="4">
        <v>0.28472222222222221</v>
      </c>
      <c r="H22" s="5">
        <v>0.73333333333333339</v>
      </c>
      <c r="I22" s="17" t="str">
        <f t="shared" si="8"/>
        <v>ter</v>
      </c>
      <c r="J22" s="6">
        <f t="shared" si="11"/>
        <v>44453</v>
      </c>
      <c r="K22" s="9">
        <f t="shared" si="12"/>
        <v>44405</v>
      </c>
      <c r="L22" s="10" t="str">
        <f t="shared" si="9"/>
        <v>10:00</v>
      </c>
      <c r="M22" s="11">
        <f t="shared" si="10"/>
        <v>-1.8750000000000044E-2</v>
      </c>
      <c r="N22" s="11">
        <f t="shared" si="0"/>
        <v>-3.1875000000000077E-2</v>
      </c>
      <c r="O22" s="39">
        <f t="shared" si="1"/>
        <v>-10.330459159090935</v>
      </c>
      <c r="P22" s="10" t="str">
        <f t="shared" si="2"/>
        <v>10:00</v>
      </c>
      <c r="Q22" s="11">
        <f t="shared" si="3"/>
        <v>3.1944444444444497E-2</v>
      </c>
      <c r="R22" s="11">
        <f t="shared" si="4"/>
        <v>4.7916666666666746E-2</v>
      </c>
      <c r="S22" s="13">
        <f t="shared" si="5"/>
        <v>15.529448409090936</v>
      </c>
    </row>
    <row r="23" spans="1:27" x14ac:dyDescent="0.25">
      <c r="A23" s="29" t="s">
        <v>16</v>
      </c>
      <c r="B23" s="29" t="s">
        <v>20</v>
      </c>
      <c r="C23" s="30" t="str">
        <f t="shared" si="6"/>
        <v>07:02</v>
      </c>
      <c r="D23" s="31" t="s">
        <v>15</v>
      </c>
      <c r="E23" s="31" t="s">
        <v>19</v>
      </c>
      <c r="F23" s="8" t="str">
        <f t="shared" si="7"/>
        <v>16:01</v>
      </c>
      <c r="G23" s="4">
        <v>0.28472222222222221</v>
      </c>
      <c r="H23" s="5">
        <v>0.80138888888888893</v>
      </c>
      <c r="I23" s="17" t="str">
        <f t="shared" si="8"/>
        <v>qua</v>
      </c>
      <c r="J23" s="6">
        <f t="shared" si="11"/>
        <v>44454</v>
      </c>
      <c r="K23" s="9">
        <f t="shared" si="12"/>
        <v>44404</v>
      </c>
      <c r="L23" s="10" t="str">
        <f t="shared" si="9"/>
        <v>10:00</v>
      </c>
      <c r="M23" s="11">
        <f t="shared" si="10"/>
        <v>-4.2361111111111183E-2</v>
      </c>
      <c r="N23" s="11">
        <f t="shared" si="0"/>
        <v>-7.2013888888889002E-2</v>
      </c>
      <c r="O23" s="39">
        <f t="shared" si="1"/>
        <v>-23.339185507575795</v>
      </c>
      <c r="P23" s="10" t="str">
        <f t="shared" si="2"/>
        <v>10:00</v>
      </c>
      <c r="Q23" s="11">
        <f t="shared" si="3"/>
        <v>0.10000000000000003</v>
      </c>
      <c r="R23" s="11">
        <f t="shared" si="4"/>
        <v>0.15000000000000005</v>
      </c>
      <c r="S23" s="13">
        <f t="shared" si="5"/>
        <v>48.613925454545473</v>
      </c>
    </row>
    <row r="24" spans="1:27" x14ac:dyDescent="0.25">
      <c r="A24" s="29" t="s">
        <v>17</v>
      </c>
      <c r="B24" s="29" t="s">
        <v>48</v>
      </c>
      <c r="C24" s="30" t="str">
        <f t="shared" si="6"/>
        <v>06:51</v>
      </c>
      <c r="D24" s="31" t="s">
        <v>14</v>
      </c>
      <c r="E24" s="31" t="s">
        <v>59</v>
      </c>
      <c r="F24" s="8" t="str">
        <f t="shared" si="7"/>
        <v>17:34</v>
      </c>
      <c r="G24" s="4">
        <v>0.28472222222222221</v>
      </c>
      <c r="H24" s="5">
        <v>0.72777777777777775</v>
      </c>
      <c r="I24" s="17" t="str">
        <f t="shared" si="8"/>
        <v>qui</v>
      </c>
      <c r="J24" s="6">
        <f t="shared" si="11"/>
        <v>44455</v>
      </c>
      <c r="K24" s="9">
        <f t="shared" si="12"/>
        <v>44403</v>
      </c>
      <c r="L24" s="10" t="str">
        <f t="shared" si="9"/>
        <v>10:00</v>
      </c>
      <c r="M24" s="11">
        <f t="shared" si="10"/>
        <v>2.9861111111111061E-2</v>
      </c>
      <c r="N24" s="11">
        <f t="shared" si="0"/>
        <v>5.0763888888888803E-2</v>
      </c>
      <c r="O24" s="39">
        <f t="shared" si="1"/>
        <v>16.452212734848459</v>
      </c>
      <c r="P24" s="10" t="str">
        <f t="shared" si="2"/>
        <v>10:00</v>
      </c>
      <c r="Q24" s="11">
        <f t="shared" si="3"/>
        <v>2.6388888888888851E-2</v>
      </c>
      <c r="R24" s="11">
        <f t="shared" si="4"/>
        <v>3.9583333333333276E-2</v>
      </c>
      <c r="S24" s="13">
        <f t="shared" si="5"/>
        <v>12.828674772727254</v>
      </c>
    </row>
    <row r="25" spans="1:27" x14ac:dyDescent="0.25">
      <c r="A25" s="29" t="s">
        <v>16</v>
      </c>
      <c r="B25" s="29" t="s">
        <v>11</v>
      </c>
      <c r="C25" s="30" t="str">
        <f t="shared" si="6"/>
        <v>07:00</v>
      </c>
      <c r="D25" s="31" t="s">
        <v>13</v>
      </c>
      <c r="E25" s="31" t="s">
        <v>47</v>
      </c>
      <c r="F25" s="8" t="str">
        <f t="shared" si="7"/>
        <v>18:38</v>
      </c>
      <c r="G25" s="4">
        <v>0.28472222222222221</v>
      </c>
      <c r="H25" s="5">
        <v>0.70416666666666661</v>
      </c>
      <c r="I25" s="17" t="str">
        <f t="shared" si="8"/>
        <v>sex</v>
      </c>
      <c r="J25" s="6">
        <f t="shared" si="11"/>
        <v>44456</v>
      </c>
      <c r="K25" s="9">
        <f t="shared" si="12"/>
        <v>44401</v>
      </c>
      <c r="L25" s="10" t="str">
        <f t="shared" si="9"/>
        <v>09:00</v>
      </c>
      <c r="M25" s="11">
        <f t="shared" si="10"/>
        <v>0.10972222222222222</v>
      </c>
      <c r="N25" s="11">
        <f t="shared" si="0"/>
        <v>0.18652777777777776</v>
      </c>
      <c r="O25" s="39">
        <f t="shared" si="1"/>
        <v>60.452316560606064</v>
      </c>
      <c r="P25" s="10" t="str">
        <f t="shared" si="2"/>
        <v>01:00</v>
      </c>
      <c r="Q25" s="11">
        <f t="shared" si="3"/>
        <v>0.37777777777777771</v>
      </c>
      <c r="R25" s="11">
        <f t="shared" si="4"/>
        <v>0.64222222222222214</v>
      </c>
      <c r="S25" s="13">
        <f t="shared" si="5"/>
        <v>208.13962157575756</v>
      </c>
    </row>
    <row r="26" spans="1:27" x14ac:dyDescent="0.25">
      <c r="A26" s="29" t="s">
        <v>16</v>
      </c>
      <c r="B26" s="29" t="s">
        <v>20</v>
      </c>
      <c r="C26" s="30" t="str">
        <f t="shared" si="6"/>
        <v>07:02</v>
      </c>
      <c r="D26" s="31" t="s">
        <v>14</v>
      </c>
      <c r="E26" s="31" t="s">
        <v>57</v>
      </c>
      <c r="F26" s="8" t="str">
        <f t="shared" si="7"/>
        <v>17:59</v>
      </c>
      <c r="G26" s="4">
        <v>0.27916666666666667</v>
      </c>
      <c r="H26" s="5">
        <v>0.72083333333333333</v>
      </c>
      <c r="I26" s="17" t="str">
        <f t="shared" si="8"/>
        <v>sáb</v>
      </c>
      <c r="J26" s="6">
        <f t="shared" si="11"/>
        <v>44457</v>
      </c>
      <c r="K26" s="9">
        <f t="shared" si="12"/>
        <v>44400</v>
      </c>
      <c r="L26" s="10" t="str">
        <f t="shared" si="9"/>
        <v>01:00</v>
      </c>
      <c r="M26" s="11">
        <f t="shared" si="10"/>
        <v>0.4145833333333333</v>
      </c>
      <c r="N26" s="11">
        <f t="shared" si="0"/>
        <v>0.70479166666666659</v>
      </c>
      <c r="O26" s="39">
        <f t="shared" si="1"/>
        <v>228.41793029545454</v>
      </c>
      <c r="P26" s="10" t="str">
        <f t="shared" si="2"/>
        <v>09:00</v>
      </c>
      <c r="Q26" s="11">
        <f t="shared" si="3"/>
        <v>6.6666666666666652E-2</v>
      </c>
      <c r="R26" s="11">
        <f t="shared" si="4"/>
        <v>9.9999999999999978E-2</v>
      </c>
      <c r="S26" s="13">
        <f t="shared" si="5"/>
        <v>32.409283636363632</v>
      </c>
    </row>
    <row r="27" spans="1:27" x14ac:dyDescent="0.25">
      <c r="A27" s="29" t="s">
        <v>17</v>
      </c>
      <c r="B27" s="29" t="s">
        <v>18</v>
      </c>
      <c r="C27" s="30" t="str">
        <f t="shared" si="6"/>
        <v>06:55</v>
      </c>
      <c r="D27" s="31" t="s">
        <v>14</v>
      </c>
      <c r="E27" s="31" t="s">
        <v>45</v>
      </c>
      <c r="F27" s="8" t="str">
        <f t="shared" si="7"/>
        <v>17:45</v>
      </c>
      <c r="G27" s="4">
        <v>0.27499999999999997</v>
      </c>
      <c r="H27" s="5">
        <v>0.75694444444444453</v>
      </c>
      <c r="I27" s="17" t="str">
        <f t="shared" si="8"/>
        <v>seg</v>
      </c>
      <c r="J27" s="6">
        <f t="shared" si="11"/>
        <v>44459</v>
      </c>
      <c r="K27" s="9">
        <f t="shared" si="12"/>
        <v>44399</v>
      </c>
      <c r="L27" s="10" t="str">
        <f t="shared" si="9"/>
        <v>10:00</v>
      </c>
      <c r="M27" s="11">
        <f t="shared" si="10"/>
        <v>3.472222222222221E-2</v>
      </c>
      <c r="N27" s="11">
        <f t="shared" si="0"/>
        <v>5.9027777777777755E-2</v>
      </c>
      <c r="O27" s="39">
        <f t="shared" si="1"/>
        <v>19.130479924242419</v>
      </c>
      <c r="P27" s="10" t="str">
        <f t="shared" si="2"/>
        <v>10:00</v>
      </c>
      <c r="Q27" s="11">
        <f t="shared" si="3"/>
        <v>6.5277777777777879E-2</v>
      </c>
      <c r="R27" s="11">
        <f t="shared" si="4"/>
        <v>9.7916666666666818E-2</v>
      </c>
      <c r="S27" s="13">
        <f t="shared" si="5"/>
        <v>31.734090227272777</v>
      </c>
    </row>
    <row r="28" spans="1:27" x14ac:dyDescent="0.25">
      <c r="A28" s="29" t="s">
        <v>16</v>
      </c>
      <c r="B28" s="29" t="s">
        <v>11</v>
      </c>
      <c r="C28" s="30" t="str">
        <f t="shared" si="6"/>
        <v>07:00</v>
      </c>
      <c r="D28" s="31" t="s">
        <v>15</v>
      </c>
      <c r="E28" s="31" t="s">
        <v>56</v>
      </c>
      <c r="F28" s="8" t="str">
        <f t="shared" si="7"/>
        <v>16:29</v>
      </c>
      <c r="G28" s="4">
        <v>0.28472222222222221</v>
      </c>
      <c r="H28" s="5">
        <v>0.76458333333333339</v>
      </c>
      <c r="I28" s="18" t="str">
        <f t="shared" si="8"/>
        <v>ter</v>
      </c>
      <c r="J28" s="6">
        <f t="shared" si="11"/>
        <v>44460</v>
      </c>
      <c r="K28" s="9">
        <f t="shared" si="12"/>
        <v>44398</v>
      </c>
      <c r="L28" s="10" t="str">
        <f t="shared" si="9"/>
        <v>10:00</v>
      </c>
      <c r="M28" s="11">
        <f t="shared" si="10"/>
        <v>-2.1527777777777812E-2</v>
      </c>
      <c r="N28" s="11">
        <f t="shared" si="0"/>
        <v>-3.6597222222222281E-2</v>
      </c>
      <c r="O28" s="39">
        <f t="shared" si="1"/>
        <v>-11.860897553030323</v>
      </c>
      <c r="P28" s="10" t="str">
        <f t="shared" si="2"/>
        <v>10:00</v>
      </c>
      <c r="Q28" s="11">
        <f t="shared" si="3"/>
        <v>6.3194444444444497E-2</v>
      </c>
      <c r="R28" s="11">
        <f t="shared" si="4"/>
        <v>9.4791666666666746E-2</v>
      </c>
      <c r="S28" s="13">
        <f t="shared" si="5"/>
        <v>30.721300113636396</v>
      </c>
      <c r="T28" s="62"/>
      <c r="U28" s="62"/>
      <c r="V28" s="62"/>
      <c r="W28" s="62"/>
      <c r="X28" s="62"/>
      <c r="Y28" s="62"/>
      <c r="Z28" s="62"/>
      <c r="AA28" s="62"/>
    </row>
    <row r="29" spans="1:27" x14ac:dyDescent="0.25">
      <c r="A29" s="32"/>
      <c r="B29" s="32"/>
      <c r="C29" s="30" t="str">
        <f t="shared" si="6"/>
        <v>00:00</v>
      </c>
      <c r="D29" s="32"/>
      <c r="E29" s="32"/>
      <c r="F29" s="8" t="str">
        <f t="shared" si="7"/>
        <v>:</v>
      </c>
      <c r="G29" s="33"/>
      <c r="H29" s="33"/>
      <c r="I29" s="34"/>
      <c r="J29" s="35"/>
      <c r="K29" s="32"/>
      <c r="L29" s="33"/>
      <c r="M29" s="33"/>
      <c r="N29" s="33" t="s">
        <v>26</v>
      </c>
      <c r="O29" s="36">
        <f>SUM(O2:O28)</f>
        <v>1559.5167234242422</v>
      </c>
      <c r="S29" s="27"/>
      <c r="T29" s="63">
        <f>SUM(S2:S28)</f>
        <v>1459.0479441515154</v>
      </c>
      <c r="U29" s="63"/>
      <c r="V29" s="64" t="s">
        <v>1</v>
      </c>
      <c r="W29" s="64">
        <f>T29/25*5</f>
        <v>291.80958883030308</v>
      </c>
      <c r="X29" s="64" t="s">
        <v>3</v>
      </c>
      <c r="Y29" s="64" t="s">
        <v>4</v>
      </c>
      <c r="Z29" s="64" t="s">
        <v>5</v>
      </c>
      <c r="AA29" s="64"/>
    </row>
    <row r="30" spans="1:27" x14ac:dyDescent="0.25">
      <c r="A30" s="32">
        <v>1</v>
      </c>
      <c r="B30" s="32" t="s">
        <v>28</v>
      </c>
      <c r="C30" s="30" t="str">
        <f t="shared" si="6"/>
        <v>1:dom</v>
      </c>
      <c r="D30" s="32"/>
      <c r="E30" s="32"/>
      <c r="F30" s="8" t="str">
        <f t="shared" si="7"/>
        <v>:</v>
      </c>
      <c r="G30" s="33"/>
      <c r="H30" s="33"/>
      <c r="I30" s="34"/>
      <c r="J30" s="35"/>
      <c r="K30" s="32"/>
      <c r="L30" s="33"/>
      <c r="M30" s="33"/>
      <c r="N30" s="33" t="s">
        <v>27</v>
      </c>
      <c r="O30" s="36">
        <f>O29/T17*(COUNTIF($I$2:$I$27,"sáb"))</f>
        <v>243.67448803503783</v>
      </c>
      <c r="S30" s="27"/>
      <c r="T30" s="63"/>
      <c r="U30" s="63"/>
      <c r="V30" s="64"/>
      <c r="W30" s="65">
        <f>T29+W29</f>
        <v>1750.8575329818184</v>
      </c>
      <c r="X30" s="66">
        <f>IF(AND($W$31&gt;0,$W$31&lt;$W$3),$X$3,IF(AND(W31&gt;W3,W4&gt;W31),X$4,IF(AND($W$31&lt;W4,W5&gt;W31),$X$5,IF(AND($W$31&gt;W5,W6&gt;W31),$X$5,X6))))</f>
        <v>0.12</v>
      </c>
      <c r="Y30" s="67">
        <f>IF(AND(X33&gt;X8,X9&gt;X33),W8,IF(AND(X33&gt;X9,X10&gt;X33),W9,IF(AND(X33&gt;X10,X11&gt;X33),W10,W11)))</f>
        <v>0.22500000000000001</v>
      </c>
      <c r="Z30" s="68">
        <v>1</v>
      </c>
      <c r="AA30" s="64"/>
    </row>
    <row r="31" spans="1:27" x14ac:dyDescent="0.25">
      <c r="A31" s="32">
        <v>2</v>
      </c>
      <c r="B31" s="32" t="s">
        <v>29</v>
      </c>
      <c r="C31" s="30" t="str">
        <f t="shared" si="6"/>
        <v>2:seg</v>
      </c>
      <c r="D31" s="32"/>
      <c r="E31" s="32"/>
      <c r="F31" s="8" t="str">
        <f t="shared" si="7"/>
        <v>:</v>
      </c>
      <c r="G31" s="33"/>
      <c r="H31" s="33"/>
      <c r="I31" s="34"/>
      <c r="J31" s="35"/>
      <c r="K31" s="32"/>
      <c r="L31" s="33"/>
      <c r="M31" s="33"/>
      <c r="N31" s="33" t="s">
        <v>35</v>
      </c>
      <c r="O31" s="36">
        <f>SUM(O29:O30)</f>
        <v>1803.1912114592801</v>
      </c>
      <c r="S31" s="27"/>
      <c r="T31" s="63"/>
      <c r="U31" s="63"/>
      <c r="V31" s="64"/>
      <c r="W31" s="65">
        <f>W1+W30</f>
        <v>4721.7085329818183</v>
      </c>
      <c r="X31" s="69">
        <f>W31*X30</f>
        <v>566.60502395781816</v>
      </c>
      <c r="Y31" s="70">
        <f>(Y30*X33)-VLOOKUP($Y$30,$W$8:$Y$11,3,0)</f>
        <v>256.11053953040005</v>
      </c>
      <c r="Z31" s="68"/>
      <c r="AA31" s="64"/>
    </row>
    <row r="32" spans="1:27" x14ac:dyDescent="0.25">
      <c r="A32" s="32">
        <v>3</v>
      </c>
      <c r="B32" s="32" t="s">
        <v>30</v>
      </c>
      <c r="C32" s="30" t="str">
        <f t="shared" si="6"/>
        <v>3:ter</v>
      </c>
      <c r="D32" s="32"/>
      <c r="E32" s="32"/>
      <c r="F32" s="8" t="str">
        <f t="shared" si="7"/>
        <v>:</v>
      </c>
      <c r="G32" s="33"/>
      <c r="H32" s="33"/>
      <c r="I32" s="34"/>
      <c r="J32" s="35"/>
      <c r="K32" s="32"/>
      <c r="L32" s="33"/>
      <c r="M32" s="33"/>
      <c r="N32" s="33"/>
      <c r="O32" s="36"/>
      <c r="S32" s="27"/>
      <c r="T32" s="63"/>
      <c r="U32" s="63"/>
      <c r="V32" s="64"/>
      <c r="W32" s="64"/>
      <c r="X32" s="70">
        <f>W31-X31</f>
        <v>4155.1035090240002</v>
      </c>
      <c r="Y32" s="64"/>
      <c r="Z32" s="64"/>
      <c r="AA32" s="64"/>
    </row>
    <row r="33" spans="1:27" x14ac:dyDescent="0.25">
      <c r="A33" s="32">
        <v>4</v>
      </c>
      <c r="B33" s="32" t="s">
        <v>31</v>
      </c>
      <c r="C33" s="30" t="str">
        <f t="shared" si="6"/>
        <v>4:qua</v>
      </c>
      <c r="D33" s="32"/>
      <c r="E33" s="32"/>
      <c r="F33" s="8" t="str">
        <f t="shared" si="7"/>
        <v>:</v>
      </c>
      <c r="G33" s="33"/>
      <c r="H33" s="33"/>
      <c r="I33" s="34"/>
      <c r="J33" s="35"/>
      <c r="K33" s="32"/>
      <c r="L33" s="33"/>
      <c r="M33" s="33"/>
      <c r="N33" s="33"/>
      <c r="O33" s="36"/>
      <c r="S33" s="27"/>
      <c r="T33" s="63"/>
      <c r="U33" s="63"/>
      <c r="V33" s="64"/>
      <c r="W33" s="64"/>
      <c r="X33" s="70">
        <f>X32-Z30*189.59</f>
        <v>3965.5135090240001</v>
      </c>
      <c r="Y33" s="69">
        <f>X33-Y31</f>
        <v>3709.4029694935998</v>
      </c>
      <c r="Z33" s="64"/>
      <c r="AA33" s="64"/>
    </row>
    <row r="34" spans="1:27" x14ac:dyDescent="0.25">
      <c r="A34" s="32">
        <v>5</v>
      </c>
      <c r="B34" s="32" t="s">
        <v>32</v>
      </c>
      <c r="C34" s="33"/>
      <c r="D34" s="32"/>
      <c r="E34" s="32"/>
      <c r="F34" s="33"/>
      <c r="G34" s="33"/>
      <c r="H34" s="33"/>
      <c r="I34" s="34"/>
      <c r="J34" s="35"/>
      <c r="K34" s="32"/>
      <c r="L34" s="33"/>
      <c r="M34" s="33"/>
      <c r="N34" s="33"/>
      <c r="O34" s="36"/>
    </row>
    <row r="35" spans="1:27" x14ac:dyDescent="0.25">
      <c r="A35" s="32">
        <v>6</v>
      </c>
      <c r="B35" s="32" t="s">
        <v>33</v>
      </c>
      <c r="C35" s="33"/>
      <c r="D35" s="32"/>
      <c r="E35" s="32"/>
      <c r="F35" s="33"/>
      <c r="G35" s="33"/>
      <c r="H35" s="33"/>
      <c r="I35" s="34"/>
      <c r="J35" s="35"/>
      <c r="K35" s="32"/>
      <c r="L35" s="33"/>
      <c r="M35" s="33"/>
      <c r="N35" s="33"/>
      <c r="O35" s="36"/>
    </row>
    <row r="36" spans="1:27" x14ac:dyDescent="0.25">
      <c r="A36" s="32">
        <v>7</v>
      </c>
      <c r="B36" s="32" t="s">
        <v>34</v>
      </c>
      <c r="C36" s="33"/>
      <c r="D36" s="32"/>
      <c r="E36" s="32"/>
      <c r="F36" s="33"/>
      <c r="G36" s="33"/>
      <c r="H36" s="33"/>
      <c r="I36" s="34"/>
      <c r="J36" s="35"/>
      <c r="K36" s="32"/>
      <c r="L36" s="33"/>
      <c r="M36" s="33"/>
      <c r="N36" s="33"/>
      <c r="O36" s="36"/>
    </row>
    <row r="37" spans="1:27" x14ac:dyDescent="0.25">
      <c r="I37" s="19"/>
    </row>
  </sheetData>
  <sortState xmlns:xlrd2="http://schemas.microsoft.com/office/spreadsheetml/2017/richdata2" ref="K3:K27">
    <sortCondition descending="1" ref="K3:K27"/>
  </sortState>
  <mergeCells count="6">
    <mergeCell ref="T9:V11"/>
    <mergeCell ref="D1:E1"/>
    <mergeCell ref="A1:B1"/>
    <mergeCell ref="U7:V7"/>
    <mergeCell ref="T1:U1"/>
    <mergeCell ref="T2:U2"/>
  </mergeCells>
  <phoneticPr fontId="3" type="noConversion"/>
  <conditionalFormatting sqref="S2:S2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5C12D-7DA4-49A8-883F-7AE884878D73}">
  <sheetPr codeName="Planilha2"/>
  <dimension ref="A1:Z34"/>
  <sheetViews>
    <sheetView tabSelected="1" topLeftCell="F1" zoomScaleNormal="100" workbookViewId="0">
      <selection activeCell="M12" sqref="M12:N13"/>
    </sheetView>
  </sheetViews>
  <sheetFormatPr defaultRowHeight="15" x14ac:dyDescent="0.25"/>
  <cols>
    <col min="1" max="1" width="3" hidden="1" customWidth="1"/>
    <col min="2" max="2" width="6" style="41" bestFit="1" customWidth="1"/>
    <col min="3" max="3" width="7" style="41" customWidth="1"/>
    <col min="4" max="4" width="9.28515625" style="8" hidden="1" customWidth="1"/>
    <col min="5" max="5" width="6" style="41" bestFit="1" customWidth="1"/>
    <col min="6" max="6" width="5" style="41" customWidth="1"/>
    <col min="7" max="8" width="9.140625" style="8" hidden="1" customWidth="1"/>
    <col min="9" max="9" width="7.140625" style="45" bestFit="1" customWidth="1"/>
    <col min="11" max="11" width="0" hidden="1" customWidth="1"/>
    <col min="12" max="12" width="9.140625" style="43" hidden="1" customWidth="1"/>
    <col min="13" max="13" width="13.28515625" style="1" bestFit="1" customWidth="1"/>
    <col min="14" max="14" width="18.85546875" style="1" customWidth="1"/>
    <col min="15" max="15" width="15.42578125" style="1" hidden="1" customWidth="1"/>
    <col min="16" max="16" width="17.7109375" customWidth="1"/>
    <col min="17" max="17" width="19.140625" customWidth="1"/>
    <col min="18" max="18" width="0" hidden="1" customWidth="1"/>
    <col min="21" max="21" width="11.42578125" style="46" bestFit="1" customWidth="1"/>
    <col min="22" max="22" width="14.85546875" style="46" bestFit="1" customWidth="1"/>
    <col min="23" max="23" width="13.140625" style="46" bestFit="1" customWidth="1"/>
    <col min="24" max="24" width="10.7109375" style="42" bestFit="1" customWidth="1"/>
  </cols>
  <sheetData>
    <row r="1" spans="1:26" x14ac:dyDescent="0.25">
      <c r="B1" s="161" t="s">
        <v>10</v>
      </c>
      <c r="C1" s="161"/>
      <c r="D1" s="162" t="s">
        <v>68</v>
      </c>
      <c r="E1" s="163" t="s">
        <v>69</v>
      </c>
      <c r="F1" s="163"/>
      <c r="G1" s="162" t="s">
        <v>68</v>
      </c>
      <c r="H1" s="162"/>
      <c r="I1" s="164" t="s">
        <v>70</v>
      </c>
      <c r="J1" s="165" t="s">
        <v>71</v>
      </c>
      <c r="K1" s="2"/>
      <c r="L1" s="134" t="s">
        <v>79</v>
      </c>
      <c r="M1" s="137" t="s">
        <v>81</v>
      </c>
      <c r="N1" s="138" t="s">
        <v>35</v>
      </c>
      <c r="O1" s="138" t="s">
        <v>80</v>
      </c>
      <c r="P1" s="139" t="s">
        <v>87</v>
      </c>
      <c r="Q1" s="140" t="s">
        <v>86</v>
      </c>
      <c r="R1" s="141"/>
      <c r="S1" s="142" t="s">
        <v>95</v>
      </c>
      <c r="T1" s="135"/>
      <c r="U1" s="71"/>
      <c r="V1" s="71"/>
      <c r="W1" s="71"/>
      <c r="X1" s="74" t="s">
        <v>92</v>
      </c>
      <c r="Y1" s="75"/>
      <c r="Z1" s="44"/>
    </row>
    <row r="2" spans="1:26" x14ac:dyDescent="0.25">
      <c r="B2" s="166" t="s">
        <v>66</v>
      </c>
      <c r="C2" s="166" t="s">
        <v>67</v>
      </c>
      <c r="D2" s="162"/>
      <c r="E2" s="167" t="s">
        <v>66</v>
      </c>
      <c r="F2" s="167" t="s">
        <v>67</v>
      </c>
      <c r="G2" s="162"/>
      <c r="H2" s="162"/>
      <c r="I2" s="168">
        <v>5</v>
      </c>
      <c r="J2" s="169"/>
      <c r="K2" s="86"/>
      <c r="M2" s="143">
        <v>1</v>
      </c>
      <c r="N2" s="130">
        <f>W3+W10</f>
        <v>0</v>
      </c>
      <c r="O2" s="85">
        <f>N2*(1+M2)</f>
        <v>0</v>
      </c>
      <c r="P2" s="47">
        <f>(O2*24)*$Q$4</f>
        <v>0</v>
      </c>
      <c r="Q2" s="125">
        <v>1500</v>
      </c>
      <c r="R2" s="144" t="s">
        <v>88</v>
      </c>
      <c r="S2" s="145"/>
      <c r="T2" s="136"/>
      <c r="U2" s="72"/>
      <c r="V2" s="72"/>
      <c r="W2" s="72"/>
      <c r="X2" s="77">
        <v>44481</v>
      </c>
      <c r="Y2" s="78"/>
      <c r="Z2" s="44"/>
    </row>
    <row r="3" spans="1:26" x14ac:dyDescent="0.25">
      <c r="A3">
        <v>1</v>
      </c>
      <c r="B3" s="170" t="s">
        <v>11</v>
      </c>
      <c r="C3" s="170" t="s">
        <v>11</v>
      </c>
      <c r="D3" s="171" t="str">
        <f>CONCATENATE(B3,":",C3)</f>
        <v>00:00</v>
      </c>
      <c r="E3" s="172" t="s">
        <v>11</v>
      </c>
      <c r="F3" s="172" t="s">
        <v>11</v>
      </c>
      <c r="G3" s="162" t="str">
        <f>CONCATENATE(E3,":",F3)</f>
        <v>00:00</v>
      </c>
      <c r="H3" s="168">
        <f>IF(D3&lt;G3,(G3-D3)-K3,0)</f>
        <v>0</v>
      </c>
      <c r="I3" s="173">
        <f>VLOOKUP(I2,$U$12:$V$23,2,0)</f>
        <v>44337</v>
      </c>
      <c r="J3" s="174" t="str">
        <f t="shared" ref="J3:J33" si="0">VLOOKUP(IF(COUNTIF($X:$X,I3),8,WEEKDAY(I3,1)),$T$3:$U$10,2,0)</f>
        <v>Sex</v>
      </c>
      <c r="K3" s="87">
        <f>VLOOKUP(J3,$U$3:$V$10,2,0)</f>
        <v>0.33333333333333331</v>
      </c>
      <c r="L3" s="43">
        <f>IF(J3="Sáb",1.7,IF(J3="Dom",2,1.5))</f>
        <v>1.5</v>
      </c>
      <c r="M3" s="146">
        <v>0.5</v>
      </c>
      <c r="N3" s="131">
        <f>SUM($W$4:$W$8)</f>
        <v>0</v>
      </c>
      <c r="O3" s="85">
        <f t="shared" ref="O3:O4" si="1">N3*(1+M3)</f>
        <v>0</v>
      </c>
      <c r="P3" s="47">
        <f>(O3*24)*$Q$4</f>
        <v>0</v>
      </c>
      <c r="Q3" s="47">
        <f>Q2*1.3</f>
        <v>1950</v>
      </c>
      <c r="R3" s="147">
        <v>0.3</v>
      </c>
      <c r="S3" s="148" t="s">
        <v>101</v>
      </c>
      <c r="T3" s="72">
        <v>1</v>
      </c>
      <c r="U3" s="72" t="s">
        <v>72</v>
      </c>
      <c r="V3" s="88">
        <v>4.1666666666666664E-2</v>
      </c>
      <c r="W3" s="72">
        <f t="shared" ref="W3:W10" si="2">SUMIFS(inHoras,inDias,U3)</f>
        <v>0</v>
      </c>
      <c r="X3" s="77">
        <v>44502</v>
      </c>
      <c r="Y3" s="78"/>
      <c r="Z3" s="44"/>
    </row>
    <row r="4" spans="1:26" x14ac:dyDescent="0.25">
      <c r="A4">
        <v>2</v>
      </c>
      <c r="B4" s="170" t="s">
        <v>11</v>
      </c>
      <c r="C4" s="170" t="s">
        <v>11</v>
      </c>
      <c r="D4" s="171" t="str">
        <f t="shared" ref="D4:D31" si="3">CONCATENATE(B4,":",C4)</f>
        <v>00:00</v>
      </c>
      <c r="E4" s="172" t="s">
        <v>11</v>
      </c>
      <c r="F4" s="172" t="s">
        <v>11</v>
      </c>
      <c r="G4" s="162" t="str">
        <f t="shared" ref="G4:G33" si="4">CONCATENATE(E4,":",F4)</f>
        <v>00:00</v>
      </c>
      <c r="H4" s="168">
        <f t="shared" ref="H4:H33" si="5">IF(D4&lt;G4,(G4-D4)-K4,0)</f>
        <v>0</v>
      </c>
      <c r="I4" s="173">
        <f>I3+1</f>
        <v>44338</v>
      </c>
      <c r="J4" s="174" t="str">
        <f t="shared" si="0"/>
        <v>Sáb</v>
      </c>
      <c r="K4" s="87">
        <f t="shared" ref="K4:K33" si="6">VLOOKUP(J4,$U$3:$V$10,2,0)</f>
        <v>4.1666666666666664E-2</v>
      </c>
      <c r="L4" s="43">
        <f t="shared" ref="L4:L33" si="7">IF(J4="Sáb",1.7,IF(J4="Dom",2,1.5))</f>
        <v>1.7</v>
      </c>
      <c r="M4" s="149">
        <v>0.7</v>
      </c>
      <c r="N4" s="132">
        <f>W9</f>
        <v>0</v>
      </c>
      <c r="O4" s="85">
        <f t="shared" si="1"/>
        <v>0</v>
      </c>
      <c r="P4" s="47">
        <f>(O4*24)*$Q$4</f>
        <v>0</v>
      </c>
      <c r="Q4" s="47">
        <f>Q3/220</f>
        <v>8.8636363636363633</v>
      </c>
      <c r="R4" s="144" t="s">
        <v>89</v>
      </c>
      <c r="S4" s="148" t="s">
        <v>102</v>
      </c>
      <c r="T4" s="72">
        <v>2</v>
      </c>
      <c r="U4" s="72" t="s">
        <v>73</v>
      </c>
      <c r="V4" s="88">
        <v>0.375</v>
      </c>
      <c r="W4" s="72">
        <f t="shared" si="2"/>
        <v>0</v>
      </c>
      <c r="X4" s="77">
        <v>44515</v>
      </c>
      <c r="Y4" s="78"/>
      <c r="Z4" s="44"/>
    </row>
    <row r="5" spans="1:26" x14ac:dyDescent="0.25">
      <c r="A5">
        <v>3</v>
      </c>
      <c r="B5" s="170" t="s">
        <v>11</v>
      </c>
      <c r="C5" s="170" t="s">
        <v>11</v>
      </c>
      <c r="D5" s="171" t="str">
        <f t="shared" si="3"/>
        <v>00:00</v>
      </c>
      <c r="E5" s="172" t="s">
        <v>11</v>
      </c>
      <c r="F5" s="172" t="s">
        <v>11</v>
      </c>
      <c r="G5" s="162" t="str">
        <f t="shared" si="4"/>
        <v>00:00</v>
      </c>
      <c r="H5" s="168">
        <f t="shared" si="5"/>
        <v>0</v>
      </c>
      <c r="I5" s="173">
        <f t="shared" ref="I5:I33" si="8">I4+1</f>
        <v>44339</v>
      </c>
      <c r="J5" s="174" t="str">
        <f t="shared" si="0"/>
        <v>Dom</v>
      </c>
      <c r="K5" s="87">
        <f t="shared" si="6"/>
        <v>4.1666666666666664E-2</v>
      </c>
      <c r="L5" s="43">
        <f t="shared" si="7"/>
        <v>2</v>
      </c>
      <c r="M5" s="150" t="s">
        <v>94</v>
      </c>
      <c r="N5" s="133">
        <f>SUM(N2:N4)</f>
        <v>0</v>
      </c>
      <c r="O5" s="85">
        <f>SUM(O2:O4)</f>
        <v>0</v>
      </c>
      <c r="P5" s="47">
        <f>SUM(P2:P4)</f>
        <v>0</v>
      </c>
      <c r="Q5" s="47"/>
      <c r="R5" s="144">
        <f>SUM(COUNTIF(inDias,"Dom"),COUNTIF(inDias,"Fer"))</f>
        <v>5</v>
      </c>
      <c r="S5" s="148"/>
      <c r="T5" s="72">
        <v>3</v>
      </c>
      <c r="U5" s="72" t="s">
        <v>74</v>
      </c>
      <c r="V5" s="88">
        <v>0.375</v>
      </c>
      <c r="W5" s="72">
        <f>SUMIFS(inHoras,inDias,U5)</f>
        <v>0</v>
      </c>
      <c r="X5" s="77">
        <v>44555</v>
      </c>
      <c r="Y5" s="78"/>
      <c r="Z5" s="44"/>
    </row>
    <row r="6" spans="1:26" x14ac:dyDescent="0.25">
      <c r="A6">
        <v>4</v>
      </c>
      <c r="B6" s="170" t="s">
        <v>11</v>
      </c>
      <c r="C6" s="170" t="s">
        <v>11</v>
      </c>
      <c r="D6" s="171" t="str">
        <f t="shared" si="3"/>
        <v>00:00</v>
      </c>
      <c r="E6" s="172" t="s">
        <v>11</v>
      </c>
      <c r="F6" s="172" t="s">
        <v>11</v>
      </c>
      <c r="G6" s="162" t="str">
        <f t="shared" si="4"/>
        <v>00:00</v>
      </c>
      <c r="H6" s="168">
        <f t="shared" si="5"/>
        <v>0</v>
      </c>
      <c r="I6" s="173">
        <f t="shared" si="8"/>
        <v>44340</v>
      </c>
      <c r="J6" s="174" t="str">
        <f t="shared" si="0"/>
        <v>Seg</v>
      </c>
      <c r="K6" s="87">
        <f t="shared" si="6"/>
        <v>0.375</v>
      </c>
      <c r="L6" s="43">
        <f t="shared" si="7"/>
        <v>1.5</v>
      </c>
      <c r="M6" s="151" t="s">
        <v>90</v>
      </c>
      <c r="N6" s="127" t="s">
        <v>91</v>
      </c>
      <c r="O6" s="127"/>
      <c r="P6" s="107" t="s">
        <v>99</v>
      </c>
      <c r="Q6" s="105" t="s">
        <v>100</v>
      </c>
      <c r="R6" s="91"/>
      <c r="S6" s="152"/>
      <c r="T6" s="72">
        <v>4</v>
      </c>
      <c r="U6" s="72" t="s">
        <v>75</v>
      </c>
      <c r="V6" s="88">
        <v>0.375</v>
      </c>
      <c r="W6" s="72">
        <f t="shared" si="2"/>
        <v>0</v>
      </c>
      <c r="X6" s="77">
        <v>44446</v>
      </c>
      <c r="Y6" s="78"/>
      <c r="Z6" s="44"/>
    </row>
    <row r="7" spans="1:26" x14ac:dyDescent="0.25">
      <c r="A7">
        <v>5</v>
      </c>
      <c r="B7" s="170" t="s">
        <v>11</v>
      </c>
      <c r="C7" s="170" t="s">
        <v>11</v>
      </c>
      <c r="D7" s="171" t="str">
        <f t="shared" si="3"/>
        <v>00:00</v>
      </c>
      <c r="E7" s="172" t="s">
        <v>11</v>
      </c>
      <c r="F7" s="172" t="s">
        <v>11</v>
      </c>
      <c r="G7" s="162" t="str">
        <f t="shared" si="4"/>
        <v>00:00</v>
      </c>
      <c r="H7" s="168">
        <f t="shared" si="5"/>
        <v>0</v>
      </c>
      <c r="I7" s="173">
        <f t="shared" si="8"/>
        <v>44341</v>
      </c>
      <c r="J7" s="174" t="str">
        <f t="shared" si="0"/>
        <v>Ter</v>
      </c>
      <c r="K7" s="87">
        <f t="shared" si="6"/>
        <v>0.375</v>
      </c>
      <c r="L7" s="43">
        <f t="shared" si="7"/>
        <v>1.5</v>
      </c>
      <c r="M7" s="153" t="s">
        <v>97</v>
      </c>
      <c r="N7" s="128">
        <f>N8+P5+Q3+P11-Q11</f>
        <v>1950</v>
      </c>
      <c r="O7" s="129"/>
      <c r="P7" s="106"/>
      <c r="Q7" s="106"/>
      <c r="R7" s="86"/>
      <c r="S7" s="148"/>
      <c r="T7" s="72">
        <v>5</v>
      </c>
      <c r="U7" s="72" t="s">
        <v>76</v>
      </c>
      <c r="V7" s="88">
        <v>0.375</v>
      </c>
      <c r="W7" s="72">
        <f t="shared" si="2"/>
        <v>0</v>
      </c>
      <c r="X7" s="77"/>
      <c r="Y7" s="78"/>
      <c r="Z7" s="44"/>
    </row>
    <row r="8" spans="1:26" x14ac:dyDescent="0.25">
      <c r="A8">
        <v>6</v>
      </c>
      <c r="B8" s="170" t="s">
        <v>11</v>
      </c>
      <c r="C8" s="170" t="s">
        <v>11</v>
      </c>
      <c r="D8" s="171" t="str">
        <f t="shared" si="3"/>
        <v>00:00</v>
      </c>
      <c r="E8" s="172" t="s">
        <v>11</v>
      </c>
      <c r="F8" s="172" t="s">
        <v>11</v>
      </c>
      <c r="G8" s="162" t="str">
        <f t="shared" si="4"/>
        <v>00:00</v>
      </c>
      <c r="H8" s="168">
        <f t="shared" si="5"/>
        <v>0</v>
      </c>
      <c r="I8" s="173">
        <f t="shared" si="8"/>
        <v>44342</v>
      </c>
      <c r="J8" s="174" t="str">
        <f t="shared" si="0"/>
        <v>Qua</v>
      </c>
      <c r="K8" s="87">
        <f t="shared" si="6"/>
        <v>0.375</v>
      </c>
      <c r="L8" s="43">
        <f t="shared" si="7"/>
        <v>1.5</v>
      </c>
      <c r="M8" s="153" t="s">
        <v>27</v>
      </c>
      <c r="N8" s="126">
        <f>((P5/(M33-R5))*R5)</f>
        <v>0</v>
      </c>
      <c r="O8" s="126"/>
      <c r="P8" s="106"/>
      <c r="Q8" s="106"/>
      <c r="R8" s="86"/>
      <c r="S8" s="148"/>
      <c r="T8" s="72">
        <v>6</v>
      </c>
      <c r="U8" s="72" t="s">
        <v>77</v>
      </c>
      <c r="V8" s="88">
        <v>0.33333333333333331</v>
      </c>
      <c r="W8" s="72">
        <f>SUMIFS(inHoras,inDias,U8)</f>
        <v>0</v>
      </c>
      <c r="X8" s="77"/>
      <c r="Y8" s="78"/>
      <c r="Z8" s="44"/>
    </row>
    <row r="9" spans="1:26" x14ac:dyDescent="0.25">
      <c r="A9">
        <v>7</v>
      </c>
      <c r="B9" s="170" t="s">
        <v>11</v>
      </c>
      <c r="C9" s="170" t="s">
        <v>11</v>
      </c>
      <c r="D9" s="171" t="str">
        <f t="shared" si="3"/>
        <v>00:00</v>
      </c>
      <c r="E9" s="172" t="s">
        <v>11</v>
      </c>
      <c r="F9" s="172" t="s">
        <v>11</v>
      </c>
      <c r="G9" s="162" t="str">
        <f t="shared" si="4"/>
        <v>00:00</v>
      </c>
      <c r="H9" s="168">
        <f t="shared" si="5"/>
        <v>0</v>
      </c>
      <c r="I9" s="173">
        <f t="shared" si="8"/>
        <v>44343</v>
      </c>
      <c r="J9" s="174" t="str">
        <f t="shared" si="0"/>
        <v>Qui</v>
      </c>
      <c r="K9" s="87">
        <f t="shared" si="6"/>
        <v>0.375</v>
      </c>
      <c r="L9" s="43">
        <f t="shared" si="7"/>
        <v>1.5</v>
      </c>
      <c r="M9" s="153" t="s">
        <v>3</v>
      </c>
      <c r="N9" s="126">
        <f>O21</f>
        <v>146.25</v>
      </c>
      <c r="O9" s="126"/>
      <c r="P9" s="106"/>
      <c r="Q9" s="106"/>
      <c r="R9" s="86"/>
      <c r="S9" s="148"/>
      <c r="T9" s="72">
        <v>7</v>
      </c>
      <c r="U9" s="72" t="s">
        <v>78</v>
      </c>
      <c r="V9" s="88">
        <v>4.1666666666666664E-2</v>
      </c>
      <c r="W9" s="72">
        <f t="shared" si="2"/>
        <v>0</v>
      </c>
      <c r="X9" s="77"/>
      <c r="Y9" s="78"/>
      <c r="Z9" s="44"/>
    </row>
    <row r="10" spans="1:26" x14ac:dyDescent="0.25">
      <c r="A10">
        <v>8</v>
      </c>
      <c r="B10" s="170" t="s">
        <v>11</v>
      </c>
      <c r="C10" s="170" t="s">
        <v>11</v>
      </c>
      <c r="D10" s="171" t="str">
        <f t="shared" si="3"/>
        <v>00:00</v>
      </c>
      <c r="E10" s="172" t="s">
        <v>11</v>
      </c>
      <c r="F10" s="172" t="s">
        <v>11</v>
      </c>
      <c r="G10" s="162" t="str">
        <f t="shared" si="4"/>
        <v>00:00</v>
      </c>
      <c r="H10" s="168">
        <f t="shared" si="5"/>
        <v>0</v>
      </c>
      <c r="I10" s="173">
        <f t="shared" si="8"/>
        <v>44344</v>
      </c>
      <c r="J10" s="174" t="str">
        <f t="shared" si="0"/>
        <v>Sex</v>
      </c>
      <c r="K10" s="87">
        <f t="shared" si="6"/>
        <v>0.33333333333333331</v>
      </c>
      <c r="L10" s="43">
        <f t="shared" si="7"/>
        <v>1.5</v>
      </c>
      <c r="M10" s="153" t="s">
        <v>4</v>
      </c>
      <c r="N10" s="126">
        <f>IF(N7&gt;V31,O22,0)</f>
        <v>-7.5187500000000114</v>
      </c>
      <c r="O10" s="126"/>
      <c r="P10" s="106"/>
      <c r="Q10" s="106"/>
      <c r="R10" s="86"/>
      <c r="S10" s="148"/>
      <c r="T10" s="72">
        <v>8</v>
      </c>
      <c r="U10" s="72" t="s">
        <v>93</v>
      </c>
      <c r="V10" s="88">
        <v>4.1666666666666664E-2</v>
      </c>
      <c r="W10" s="72">
        <f t="shared" si="2"/>
        <v>0</v>
      </c>
      <c r="X10" s="77"/>
      <c r="Y10" s="78"/>
      <c r="Z10" s="44"/>
    </row>
    <row r="11" spans="1:26" ht="15.75" thickBot="1" x14ac:dyDescent="0.3">
      <c r="A11">
        <v>9</v>
      </c>
      <c r="B11" s="170" t="s">
        <v>11</v>
      </c>
      <c r="C11" s="170" t="s">
        <v>11</v>
      </c>
      <c r="D11" s="171" t="str">
        <f t="shared" si="3"/>
        <v>00:00</v>
      </c>
      <c r="E11" s="172" t="s">
        <v>11</v>
      </c>
      <c r="F11" s="172" t="s">
        <v>11</v>
      </c>
      <c r="G11" s="162" t="str">
        <f t="shared" si="4"/>
        <v>00:00</v>
      </c>
      <c r="H11" s="168">
        <f t="shared" si="5"/>
        <v>0</v>
      </c>
      <c r="I11" s="173">
        <f t="shared" si="8"/>
        <v>44345</v>
      </c>
      <c r="J11" s="174" t="str">
        <f t="shared" si="0"/>
        <v>Sáb</v>
      </c>
      <c r="K11" s="87">
        <f t="shared" si="6"/>
        <v>4.1666666666666664E-2</v>
      </c>
      <c r="L11" s="43">
        <f t="shared" si="7"/>
        <v>1.7</v>
      </c>
      <c r="M11" s="154" t="s">
        <v>98</v>
      </c>
      <c r="N11" s="155">
        <f>N7-N9-N10</f>
        <v>1811.26875</v>
      </c>
      <c r="O11" s="156"/>
      <c r="P11" s="157">
        <f>SUM(P7:P10)</f>
        <v>0</v>
      </c>
      <c r="Q11" s="158">
        <f>SUM(Q7:Q10)</f>
        <v>0</v>
      </c>
      <c r="R11" s="159"/>
      <c r="S11" s="160"/>
      <c r="T11" s="136"/>
      <c r="U11" s="72" t="s">
        <v>85</v>
      </c>
      <c r="V11" s="72" t="s">
        <v>84</v>
      </c>
      <c r="W11" s="72"/>
      <c r="X11" s="77"/>
      <c r="Y11" s="78"/>
      <c r="Z11" s="44"/>
    </row>
    <row r="12" spans="1:26" x14ac:dyDescent="0.25">
      <c r="A12">
        <v>10</v>
      </c>
      <c r="B12" s="170" t="s">
        <v>11</v>
      </c>
      <c r="C12" s="170" t="s">
        <v>11</v>
      </c>
      <c r="D12" s="171" t="str">
        <f t="shared" si="3"/>
        <v>00:00</v>
      </c>
      <c r="E12" s="172" t="s">
        <v>11</v>
      </c>
      <c r="F12" s="172" t="s">
        <v>11</v>
      </c>
      <c r="G12" s="162" t="str">
        <f t="shared" si="4"/>
        <v>00:00</v>
      </c>
      <c r="H12" s="168">
        <f t="shared" si="5"/>
        <v>0</v>
      </c>
      <c r="I12" s="173">
        <f t="shared" si="8"/>
        <v>44346</v>
      </c>
      <c r="J12" s="174" t="str">
        <f t="shared" si="0"/>
        <v>Dom</v>
      </c>
      <c r="K12" s="87">
        <f t="shared" si="6"/>
        <v>4.1666666666666664E-2</v>
      </c>
      <c r="L12" s="43">
        <f t="shared" si="7"/>
        <v>2</v>
      </c>
      <c r="M12" s="175">
        <f>N11</f>
        <v>1811.26875</v>
      </c>
      <c r="N12" s="176"/>
      <c r="T12" s="76"/>
      <c r="U12" s="72">
        <v>1</v>
      </c>
      <c r="V12" s="73">
        <v>44217</v>
      </c>
      <c r="W12" s="72"/>
      <c r="X12" s="77"/>
      <c r="Y12" s="78"/>
      <c r="Z12" s="44"/>
    </row>
    <row r="13" spans="1:26" ht="15.75" thickBot="1" x14ac:dyDescent="0.3">
      <c r="A13">
        <v>11</v>
      </c>
      <c r="B13" s="170" t="s">
        <v>11</v>
      </c>
      <c r="C13" s="170" t="s">
        <v>11</v>
      </c>
      <c r="D13" s="171" t="str">
        <f t="shared" si="3"/>
        <v>00:00</v>
      </c>
      <c r="E13" s="172" t="s">
        <v>11</v>
      </c>
      <c r="F13" s="172" t="s">
        <v>11</v>
      </c>
      <c r="G13" s="162" t="str">
        <f t="shared" si="4"/>
        <v>00:00</v>
      </c>
      <c r="H13" s="168">
        <f t="shared" si="5"/>
        <v>0</v>
      </c>
      <c r="I13" s="173">
        <f t="shared" si="8"/>
        <v>44347</v>
      </c>
      <c r="J13" s="174" t="str">
        <f t="shared" si="0"/>
        <v>Seg</v>
      </c>
      <c r="K13" s="87">
        <f t="shared" si="6"/>
        <v>0.375</v>
      </c>
      <c r="L13" s="43">
        <f t="shared" si="7"/>
        <v>1.5</v>
      </c>
      <c r="M13" s="177"/>
      <c r="N13" s="178"/>
      <c r="T13" s="76"/>
      <c r="U13" s="72">
        <v>2</v>
      </c>
      <c r="V13" s="73">
        <v>44248</v>
      </c>
      <c r="W13" s="72"/>
      <c r="X13" s="77"/>
      <c r="Y13" s="78"/>
      <c r="Z13" s="44"/>
    </row>
    <row r="14" spans="1:26" x14ac:dyDescent="0.25">
      <c r="A14">
        <v>12</v>
      </c>
      <c r="B14" s="170" t="s">
        <v>11</v>
      </c>
      <c r="C14" s="170" t="s">
        <v>11</v>
      </c>
      <c r="D14" s="171" t="str">
        <f t="shared" si="3"/>
        <v>00:00</v>
      </c>
      <c r="E14" s="172" t="s">
        <v>11</v>
      </c>
      <c r="F14" s="172" t="s">
        <v>11</v>
      </c>
      <c r="G14" s="162" t="str">
        <f t="shared" si="4"/>
        <v>00:00</v>
      </c>
      <c r="H14" s="168">
        <f t="shared" si="5"/>
        <v>0</v>
      </c>
      <c r="I14" s="173">
        <f t="shared" si="8"/>
        <v>44348</v>
      </c>
      <c r="J14" s="174" t="str">
        <f t="shared" si="0"/>
        <v>Ter</v>
      </c>
      <c r="K14" s="87">
        <f t="shared" si="6"/>
        <v>0.375</v>
      </c>
      <c r="L14" s="43">
        <f t="shared" si="7"/>
        <v>1.5</v>
      </c>
      <c r="M14" s="82"/>
      <c r="N14" s="82"/>
      <c r="O14" s="82"/>
      <c r="P14" s="83"/>
      <c r="Q14" s="83"/>
      <c r="R14" s="83"/>
      <c r="S14" s="83"/>
      <c r="T14" s="76"/>
      <c r="U14" s="72">
        <v>3</v>
      </c>
      <c r="V14" s="73">
        <v>44276</v>
      </c>
      <c r="W14" s="72"/>
      <c r="X14" s="77"/>
      <c r="Y14" s="78"/>
      <c r="Z14" s="44"/>
    </row>
    <row r="15" spans="1:26" x14ac:dyDescent="0.25">
      <c r="A15">
        <v>13</v>
      </c>
      <c r="B15" s="170" t="s">
        <v>11</v>
      </c>
      <c r="C15" s="170" t="s">
        <v>11</v>
      </c>
      <c r="D15" s="171" t="str">
        <f t="shared" si="3"/>
        <v>00:00</v>
      </c>
      <c r="E15" s="172" t="s">
        <v>11</v>
      </c>
      <c r="F15" s="172" t="s">
        <v>11</v>
      </c>
      <c r="G15" s="162" t="str">
        <f t="shared" si="4"/>
        <v>00:00</v>
      </c>
      <c r="H15" s="168">
        <f t="shared" si="5"/>
        <v>0</v>
      </c>
      <c r="I15" s="173">
        <f t="shared" si="8"/>
        <v>44349</v>
      </c>
      <c r="J15" s="174" t="str">
        <f t="shared" si="0"/>
        <v>Qua</v>
      </c>
      <c r="K15" s="87">
        <f t="shared" si="6"/>
        <v>0.375</v>
      </c>
      <c r="L15" s="43">
        <f t="shared" si="7"/>
        <v>1.5</v>
      </c>
      <c r="M15" s="82"/>
      <c r="N15" s="82"/>
      <c r="O15" s="82"/>
      <c r="P15" s="83"/>
      <c r="Q15" s="83"/>
      <c r="R15" s="83"/>
      <c r="S15" s="83"/>
      <c r="T15" s="76"/>
      <c r="U15" s="72">
        <v>4</v>
      </c>
      <c r="V15" s="73">
        <v>44307</v>
      </c>
      <c r="W15" s="72"/>
      <c r="X15" s="77"/>
      <c r="Y15" s="78"/>
      <c r="Z15" s="44"/>
    </row>
    <row r="16" spans="1:26" x14ac:dyDescent="0.25">
      <c r="A16">
        <v>14</v>
      </c>
      <c r="B16" s="170" t="s">
        <v>11</v>
      </c>
      <c r="C16" s="170" t="s">
        <v>11</v>
      </c>
      <c r="D16" s="171" t="str">
        <f t="shared" si="3"/>
        <v>00:00</v>
      </c>
      <c r="E16" s="172" t="s">
        <v>11</v>
      </c>
      <c r="F16" s="172" t="s">
        <v>11</v>
      </c>
      <c r="G16" s="162" t="str">
        <f t="shared" si="4"/>
        <v>00:00</v>
      </c>
      <c r="H16" s="168">
        <f t="shared" si="5"/>
        <v>0</v>
      </c>
      <c r="I16" s="173">
        <f t="shared" si="8"/>
        <v>44350</v>
      </c>
      <c r="J16" s="174" t="str">
        <f t="shared" si="0"/>
        <v>Qui</v>
      </c>
      <c r="K16" s="87">
        <f t="shared" si="6"/>
        <v>0.375</v>
      </c>
      <c r="L16" s="43">
        <f t="shared" si="7"/>
        <v>1.5</v>
      </c>
      <c r="M16" s="32"/>
      <c r="N16" s="32"/>
      <c r="O16" s="32"/>
      <c r="P16" s="84"/>
      <c r="Q16" s="83"/>
      <c r="R16" s="83"/>
      <c r="S16" s="83"/>
      <c r="T16" s="76"/>
      <c r="U16" s="72">
        <v>5</v>
      </c>
      <c r="V16" s="73">
        <v>44337</v>
      </c>
      <c r="W16" s="72"/>
      <c r="X16" s="77"/>
      <c r="Y16" s="78"/>
      <c r="Z16" s="44"/>
    </row>
    <row r="17" spans="1:26" x14ac:dyDescent="0.25">
      <c r="A17">
        <v>15</v>
      </c>
      <c r="B17" s="170" t="s">
        <v>11</v>
      </c>
      <c r="C17" s="170" t="s">
        <v>11</v>
      </c>
      <c r="D17" s="171" t="str">
        <f t="shared" si="3"/>
        <v>00:00</v>
      </c>
      <c r="E17" s="172" t="s">
        <v>11</v>
      </c>
      <c r="F17" s="172" t="s">
        <v>11</v>
      </c>
      <c r="G17" s="162" t="str">
        <f t="shared" si="4"/>
        <v>00:00</v>
      </c>
      <c r="H17" s="168">
        <f t="shared" si="5"/>
        <v>0</v>
      </c>
      <c r="I17" s="173">
        <f t="shared" si="8"/>
        <v>44351</v>
      </c>
      <c r="J17" s="174" t="str">
        <f t="shared" si="0"/>
        <v>Sex</v>
      </c>
      <c r="K17" s="87">
        <f t="shared" si="6"/>
        <v>0.33333333333333331</v>
      </c>
      <c r="L17" s="43">
        <f t="shared" si="7"/>
        <v>1.5</v>
      </c>
      <c r="M17" s="32"/>
      <c r="N17" s="32"/>
      <c r="O17" s="32"/>
      <c r="P17" s="84"/>
      <c r="Q17" s="84"/>
      <c r="R17" s="83"/>
      <c r="S17" s="83"/>
      <c r="T17" s="76"/>
      <c r="U17" s="72">
        <v>6</v>
      </c>
      <c r="V17" s="73">
        <v>44368</v>
      </c>
      <c r="W17" s="72"/>
      <c r="X17" s="77"/>
      <c r="Y17" s="78"/>
      <c r="Z17" s="44"/>
    </row>
    <row r="18" spans="1:26" x14ac:dyDescent="0.25">
      <c r="A18">
        <v>16</v>
      </c>
      <c r="B18" s="170" t="s">
        <v>11</v>
      </c>
      <c r="C18" s="170" t="s">
        <v>11</v>
      </c>
      <c r="D18" s="171" t="str">
        <f t="shared" si="3"/>
        <v>00:00</v>
      </c>
      <c r="E18" s="172" t="s">
        <v>11</v>
      </c>
      <c r="F18" s="172" t="s">
        <v>11</v>
      </c>
      <c r="G18" s="162" t="str">
        <f t="shared" si="4"/>
        <v>00:00</v>
      </c>
      <c r="H18" s="168">
        <f t="shared" si="5"/>
        <v>0</v>
      </c>
      <c r="I18" s="173">
        <f t="shared" si="8"/>
        <v>44352</v>
      </c>
      <c r="J18" s="174" t="str">
        <f t="shared" si="0"/>
        <v>Sáb</v>
      </c>
      <c r="K18" s="87">
        <f t="shared" si="6"/>
        <v>4.1666666666666664E-2</v>
      </c>
      <c r="L18" s="43">
        <f t="shared" si="7"/>
        <v>1.7</v>
      </c>
      <c r="M18" s="32"/>
      <c r="N18" s="32"/>
      <c r="O18" s="32"/>
      <c r="P18" s="84"/>
      <c r="Q18" s="90"/>
      <c r="R18" s="83"/>
      <c r="S18" s="83"/>
      <c r="T18" s="76"/>
      <c r="U18" s="72">
        <v>7</v>
      </c>
      <c r="V18" s="73">
        <v>44398</v>
      </c>
      <c r="W18" s="72"/>
      <c r="X18" s="77"/>
      <c r="Y18" s="78"/>
      <c r="Z18" s="44"/>
    </row>
    <row r="19" spans="1:26" x14ac:dyDescent="0.25">
      <c r="A19">
        <v>17</v>
      </c>
      <c r="B19" s="170" t="s">
        <v>11</v>
      </c>
      <c r="C19" s="170" t="s">
        <v>11</v>
      </c>
      <c r="D19" s="171" t="str">
        <f t="shared" si="3"/>
        <v>00:00</v>
      </c>
      <c r="E19" s="172" t="s">
        <v>11</v>
      </c>
      <c r="F19" s="172" t="s">
        <v>11</v>
      </c>
      <c r="G19" s="162" t="str">
        <f t="shared" si="4"/>
        <v>00:00</v>
      </c>
      <c r="H19" s="168">
        <f t="shared" si="5"/>
        <v>0</v>
      </c>
      <c r="I19" s="173">
        <f t="shared" si="8"/>
        <v>44353</v>
      </c>
      <c r="J19" s="174" t="str">
        <f t="shared" si="0"/>
        <v>Dom</v>
      </c>
      <c r="K19" s="87">
        <f t="shared" si="6"/>
        <v>4.1666666666666664E-2</v>
      </c>
      <c r="L19" s="43">
        <f t="shared" si="7"/>
        <v>2</v>
      </c>
      <c r="M19" s="32"/>
      <c r="N19" s="32"/>
      <c r="O19" s="32"/>
      <c r="P19" s="84"/>
      <c r="Q19" s="90"/>
      <c r="R19" s="83"/>
      <c r="S19" s="83"/>
      <c r="T19" s="76"/>
      <c r="U19" s="72">
        <v>8</v>
      </c>
      <c r="V19" s="73">
        <v>44429</v>
      </c>
      <c r="W19" s="72"/>
      <c r="X19" s="77"/>
      <c r="Y19" s="78"/>
      <c r="Z19" s="44"/>
    </row>
    <row r="20" spans="1:26" x14ac:dyDescent="0.25">
      <c r="A20">
        <v>18</v>
      </c>
      <c r="B20" s="170" t="s">
        <v>11</v>
      </c>
      <c r="C20" s="170" t="s">
        <v>11</v>
      </c>
      <c r="D20" s="171" t="str">
        <f t="shared" si="3"/>
        <v>00:00</v>
      </c>
      <c r="E20" s="172" t="s">
        <v>11</v>
      </c>
      <c r="F20" s="172" t="s">
        <v>11</v>
      </c>
      <c r="G20" s="162" t="str">
        <f t="shared" si="4"/>
        <v>00:00</v>
      </c>
      <c r="H20" s="168">
        <f t="shared" si="5"/>
        <v>0</v>
      </c>
      <c r="I20" s="173">
        <f t="shared" si="8"/>
        <v>44354</v>
      </c>
      <c r="J20" s="174" t="str">
        <f t="shared" si="0"/>
        <v>Seg</v>
      </c>
      <c r="K20" s="87">
        <f t="shared" si="6"/>
        <v>0.375</v>
      </c>
      <c r="L20" s="43">
        <f t="shared" si="7"/>
        <v>1.5</v>
      </c>
      <c r="M20" s="32" t="s">
        <v>90</v>
      </c>
      <c r="N20" s="32" t="s">
        <v>96</v>
      </c>
      <c r="O20" s="32" t="s">
        <v>91</v>
      </c>
      <c r="P20" s="84"/>
      <c r="Q20" s="90"/>
      <c r="R20" s="83"/>
      <c r="S20" s="83"/>
      <c r="T20" s="76"/>
      <c r="U20" s="72">
        <v>9</v>
      </c>
      <c r="V20" s="73">
        <v>44460</v>
      </c>
      <c r="W20" s="72"/>
      <c r="X20" s="77"/>
      <c r="Y20" s="78"/>
      <c r="Z20" s="44"/>
    </row>
    <row r="21" spans="1:26" x14ac:dyDescent="0.25">
      <c r="A21">
        <v>19</v>
      </c>
      <c r="B21" s="170" t="s">
        <v>11</v>
      </c>
      <c r="C21" s="170" t="s">
        <v>11</v>
      </c>
      <c r="D21" s="171" t="str">
        <f t="shared" si="3"/>
        <v>00:00</v>
      </c>
      <c r="E21" s="172" t="s">
        <v>11</v>
      </c>
      <c r="F21" s="172" t="s">
        <v>11</v>
      </c>
      <c r="G21" s="162" t="str">
        <f t="shared" si="4"/>
        <v>00:00</v>
      </c>
      <c r="H21" s="168">
        <f t="shared" si="5"/>
        <v>0</v>
      </c>
      <c r="I21" s="173">
        <f t="shared" si="8"/>
        <v>44355</v>
      </c>
      <c r="J21" s="174" t="str">
        <f t="shared" si="0"/>
        <v>Ter</v>
      </c>
      <c r="K21" s="87">
        <f t="shared" si="6"/>
        <v>0.375</v>
      </c>
      <c r="L21" s="43">
        <f t="shared" si="7"/>
        <v>1.5</v>
      </c>
      <c r="M21" s="32" t="s">
        <v>3</v>
      </c>
      <c r="N21" s="92">
        <f>IF($N$7&gt;U29,V29,IF(N7&gt;U28,V28,IF(N7&gt;U27,V27,V26)))</f>
        <v>7.4999999999999997E-2</v>
      </c>
      <c r="O21" s="93">
        <f>N21*N7</f>
        <v>146.25</v>
      </c>
      <c r="P21" s="84"/>
      <c r="Q21" s="90"/>
      <c r="R21" s="83"/>
      <c r="S21" s="83"/>
      <c r="T21" s="76"/>
      <c r="U21" s="72">
        <v>10</v>
      </c>
      <c r="V21" s="73">
        <v>44490</v>
      </c>
      <c r="W21" s="72"/>
      <c r="X21" s="77"/>
      <c r="Y21" s="78"/>
      <c r="Z21" s="44"/>
    </row>
    <row r="22" spans="1:26" x14ac:dyDescent="0.25">
      <c r="A22">
        <v>20</v>
      </c>
      <c r="B22" s="170" t="s">
        <v>11</v>
      </c>
      <c r="C22" s="170" t="s">
        <v>11</v>
      </c>
      <c r="D22" s="171" t="str">
        <f t="shared" si="3"/>
        <v>00:00</v>
      </c>
      <c r="E22" s="172" t="s">
        <v>11</v>
      </c>
      <c r="F22" s="172" t="s">
        <v>11</v>
      </c>
      <c r="G22" s="162" t="str">
        <f t="shared" si="4"/>
        <v>00:00</v>
      </c>
      <c r="H22" s="168">
        <f t="shared" si="5"/>
        <v>0</v>
      </c>
      <c r="I22" s="173">
        <f t="shared" si="8"/>
        <v>44356</v>
      </c>
      <c r="J22" s="174" t="str">
        <f t="shared" si="0"/>
        <v>Qua</v>
      </c>
      <c r="K22" s="87">
        <f t="shared" si="6"/>
        <v>0.375</v>
      </c>
      <c r="L22" s="43">
        <f t="shared" si="7"/>
        <v>1.5</v>
      </c>
      <c r="M22" s="32" t="s">
        <v>4</v>
      </c>
      <c r="N22" s="92">
        <f>IF(N7-O21&gt;V34,U34,IF(N7-O21&gt;V33,U33,IF(N7-O21&gt;V32,U32,U31)))</f>
        <v>7.4999999999999997E-2</v>
      </c>
      <c r="O22" s="93">
        <f>(N7-O21-(S2*189.59))*N22-(VLOOKUP(N22,$U$31:$W$34,3,0))</f>
        <v>-7.5187500000000114</v>
      </c>
      <c r="P22" s="84"/>
      <c r="Q22" s="90"/>
      <c r="R22" s="83"/>
      <c r="S22" s="83"/>
      <c r="T22" s="76"/>
      <c r="U22" s="72">
        <v>11</v>
      </c>
      <c r="V22" s="73">
        <v>44521</v>
      </c>
      <c r="W22" s="72"/>
      <c r="X22" s="77"/>
      <c r="Y22" s="78"/>
      <c r="Z22" s="44"/>
    </row>
    <row r="23" spans="1:26" x14ac:dyDescent="0.25">
      <c r="A23">
        <v>21</v>
      </c>
      <c r="B23" s="170" t="s">
        <v>11</v>
      </c>
      <c r="C23" s="170" t="s">
        <v>11</v>
      </c>
      <c r="D23" s="171" t="str">
        <f t="shared" si="3"/>
        <v>00:00</v>
      </c>
      <c r="E23" s="172" t="s">
        <v>11</v>
      </c>
      <c r="F23" s="172" t="s">
        <v>11</v>
      </c>
      <c r="G23" s="162" t="str">
        <f t="shared" si="4"/>
        <v>00:00</v>
      </c>
      <c r="H23" s="168">
        <f t="shared" si="5"/>
        <v>0</v>
      </c>
      <c r="I23" s="173">
        <f t="shared" si="8"/>
        <v>44357</v>
      </c>
      <c r="J23" s="174" t="str">
        <f t="shared" si="0"/>
        <v>Qui</v>
      </c>
      <c r="K23" s="87">
        <f t="shared" si="6"/>
        <v>0.375</v>
      </c>
      <c r="L23" s="43">
        <f t="shared" si="7"/>
        <v>1.5</v>
      </c>
      <c r="M23" s="32"/>
      <c r="N23" s="32"/>
      <c r="O23" s="32"/>
      <c r="P23" s="84"/>
      <c r="Q23" s="90"/>
      <c r="R23" s="83"/>
      <c r="S23" s="83"/>
      <c r="T23" s="76"/>
      <c r="U23" s="72">
        <v>12</v>
      </c>
      <c r="V23" s="73">
        <v>44551</v>
      </c>
      <c r="W23" s="72"/>
      <c r="X23" s="77"/>
      <c r="Y23" s="78"/>
    </row>
    <row r="24" spans="1:26" x14ac:dyDescent="0.25">
      <c r="A24">
        <v>22</v>
      </c>
      <c r="B24" s="170" t="s">
        <v>11</v>
      </c>
      <c r="C24" s="170" t="s">
        <v>11</v>
      </c>
      <c r="D24" s="171" t="str">
        <f t="shared" si="3"/>
        <v>00:00</v>
      </c>
      <c r="E24" s="172" t="s">
        <v>11</v>
      </c>
      <c r="F24" s="172" t="s">
        <v>11</v>
      </c>
      <c r="G24" s="162" t="str">
        <f t="shared" si="4"/>
        <v>00:00</v>
      </c>
      <c r="H24" s="168">
        <f t="shared" si="5"/>
        <v>0</v>
      </c>
      <c r="I24" s="173">
        <f t="shared" si="8"/>
        <v>44358</v>
      </c>
      <c r="J24" s="174" t="str">
        <f t="shared" si="0"/>
        <v>Sex</v>
      </c>
      <c r="K24" s="87">
        <f t="shared" si="6"/>
        <v>0.33333333333333331</v>
      </c>
      <c r="L24" s="43">
        <f t="shared" si="7"/>
        <v>1.5</v>
      </c>
      <c r="M24" s="89"/>
      <c r="N24" s="89"/>
      <c r="O24" s="89"/>
      <c r="P24" s="90"/>
      <c r="Q24" s="90"/>
      <c r="R24" s="83"/>
      <c r="S24" s="83"/>
      <c r="T24" s="76"/>
      <c r="U24" s="72"/>
      <c r="V24" s="72"/>
      <c r="W24" s="72"/>
      <c r="X24" s="77"/>
      <c r="Y24" s="78"/>
    </row>
    <row r="25" spans="1:26" x14ac:dyDescent="0.25">
      <c r="A25">
        <v>23</v>
      </c>
      <c r="B25" s="170" t="s">
        <v>11</v>
      </c>
      <c r="C25" s="170" t="s">
        <v>11</v>
      </c>
      <c r="D25" s="171" t="str">
        <f t="shared" si="3"/>
        <v>00:00</v>
      </c>
      <c r="E25" s="172" t="s">
        <v>11</v>
      </c>
      <c r="F25" s="172" t="s">
        <v>11</v>
      </c>
      <c r="G25" s="162" t="str">
        <f t="shared" si="4"/>
        <v>00:00</v>
      </c>
      <c r="H25" s="168">
        <f t="shared" si="5"/>
        <v>0</v>
      </c>
      <c r="I25" s="173">
        <f t="shared" si="8"/>
        <v>44359</v>
      </c>
      <c r="J25" s="174" t="str">
        <f t="shared" si="0"/>
        <v>Sáb</v>
      </c>
      <c r="K25" s="87">
        <f t="shared" si="6"/>
        <v>4.1666666666666664E-2</v>
      </c>
      <c r="L25" s="43">
        <f t="shared" si="7"/>
        <v>1.7</v>
      </c>
      <c r="M25" s="89"/>
      <c r="N25" s="89"/>
      <c r="O25" s="89"/>
      <c r="P25" s="90"/>
      <c r="Q25" s="90"/>
      <c r="R25" s="83"/>
      <c r="S25" s="83"/>
      <c r="T25" s="76"/>
      <c r="U25" s="94" t="s">
        <v>38</v>
      </c>
      <c r="V25" s="95" t="s">
        <v>2</v>
      </c>
      <c r="W25" s="96"/>
      <c r="X25" s="77"/>
      <c r="Y25" s="78"/>
    </row>
    <row r="26" spans="1:26" x14ac:dyDescent="0.25">
      <c r="A26">
        <v>24</v>
      </c>
      <c r="B26" s="170" t="s">
        <v>11</v>
      </c>
      <c r="C26" s="170" t="s">
        <v>11</v>
      </c>
      <c r="D26" s="171" t="str">
        <f t="shared" si="3"/>
        <v>00:00</v>
      </c>
      <c r="E26" s="172" t="s">
        <v>11</v>
      </c>
      <c r="F26" s="172" t="s">
        <v>11</v>
      </c>
      <c r="G26" s="162" t="str">
        <f t="shared" si="4"/>
        <v>00:00</v>
      </c>
      <c r="H26" s="168">
        <f t="shared" si="5"/>
        <v>0</v>
      </c>
      <c r="I26" s="173">
        <f t="shared" si="8"/>
        <v>44360</v>
      </c>
      <c r="J26" s="174" t="str">
        <f t="shared" si="0"/>
        <v>Dom</v>
      </c>
      <c r="K26" s="87">
        <f t="shared" si="6"/>
        <v>4.1666666666666664E-2</v>
      </c>
      <c r="L26" s="43">
        <f t="shared" si="7"/>
        <v>2</v>
      </c>
      <c r="M26" s="89"/>
      <c r="N26" s="89"/>
      <c r="O26" s="89"/>
      <c r="P26" s="90"/>
      <c r="Q26" s="90"/>
      <c r="R26" s="83"/>
      <c r="S26" s="83"/>
      <c r="T26" s="76"/>
      <c r="U26" s="97">
        <v>1100</v>
      </c>
      <c r="V26" s="98">
        <v>7.4999999999999997E-2</v>
      </c>
      <c r="W26" s="96"/>
      <c r="X26" s="77"/>
      <c r="Y26" s="78"/>
    </row>
    <row r="27" spans="1:26" x14ac:dyDescent="0.25">
      <c r="A27">
        <v>25</v>
      </c>
      <c r="B27" s="170" t="s">
        <v>11</v>
      </c>
      <c r="C27" s="170" t="s">
        <v>11</v>
      </c>
      <c r="D27" s="171" t="str">
        <f t="shared" si="3"/>
        <v>00:00</v>
      </c>
      <c r="E27" s="172" t="s">
        <v>11</v>
      </c>
      <c r="F27" s="172" t="s">
        <v>11</v>
      </c>
      <c r="G27" s="162" t="str">
        <f t="shared" si="4"/>
        <v>00:00</v>
      </c>
      <c r="H27" s="168">
        <f t="shared" si="5"/>
        <v>0</v>
      </c>
      <c r="I27" s="173">
        <f t="shared" si="8"/>
        <v>44361</v>
      </c>
      <c r="J27" s="174" t="str">
        <f t="shared" si="0"/>
        <v>Seg</v>
      </c>
      <c r="K27" s="87">
        <f t="shared" si="6"/>
        <v>0.375</v>
      </c>
      <c r="L27" s="43">
        <f t="shared" si="7"/>
        <v>1.5</v>
      </c>
      <c r="M27" s="89"/>
      <c r="N27" s="89"/>
      <c r="O27" s="89"/>
      <c r="P27" s="90"/>
      <c r="Q27" s="90"/>
      <c r="R27" s="83"/>
      <c r="S27" s="83"/>
      <c r="T27" s="76"/>
      <c r="U27" s="97">
        <v>2203.48</v>
      </c>
      <c r="V27" s="98">
        <v>0.09</v>
      </c>
      <c r="W27" s="96"/>
      <c r="X27" s="77"/>
      <c r="Y27" s="78"/>
    </row>
    <row r="28" spans="1:26" x14ac:dyDescent="0.25">
      <c r="A28">
        <v>26</v>
      </c>
      <c r="B28" s="170" t="s">
        <v>11</v>
      </c>
      <c r="C28" s="170" t="s">
        <v>11</v>
      </c>
      <c r="D28" s="171" t="str">
        <f t="shared" si="3"/>
        <v>00:00</v>
      </c>
      <c r="E28" s="172" t="s">
        <v>11</v>
      </c>
      <c r="F28" s="172" t="s">
        <v>11</v>
      </c>
      <c r="G28" s="162" t="str">
        <f t="shared" si="4"/>
        <v>00:00</v>
      </c>
      <c r="H28" s="168">
        <f t="shared" si="5"/>
        <v>0</v>
      </c>
      <c r="I28" s="173">
        <f t="shared" si="8"/>
        <v>44362</v>
      </c>
      <c r="J28" s="174" t="str">
        <f t="shared" si="0"/>
        <v>Ter</v>
      </c>
      <c r="K28" s="87">
        <f t="shared" si="6"/>
        <v>0.375</v>
      </c>
      <c r="L28" s="43">
        <f t="shared" si="7"/>
        <v>1.5</v>
      </c>
      <c r="M28" s="89"/>
      <c r="N28" s="89"/>
      <c r="O28" s="89"/>
      <c r="P28" s="90"/>
      <c r="Q28" s="90"/>
      <c r="R28" s="83"/>
      <c r="S28" s="83"/>
      <c r="T28" s="76"/>
      <c r="U28" s="97">
        <v>3305.22</v>
      </c>
      <c r="V28" s="98">
        <v>0.12</v>
      </c>
      <c r="W28" s="96"/>
      <c r="X28" s="77"/>
      <c r="Y28" s="78"/>
    </row>
    <row r="29" spans="1:26" x14ac:dyDescent="0.25">
      <c r="A29">
        <v>27</v>
      </c>
      <c r="B29" s="170" t="s">
        <v>11</v>
      </c>
      <c r="C29" s="170" t="s">
        <v>11</v>
      </c>
      <c r="D29" s="171" t="str">
        <f t="shared" si="3"/>
        <v>00:00</v>
      </c>
      <c r="E29" s="172" t="s">
        <v>11</v>
      </c>
      <c r="F29" s="172" t="s">
        <v>11</v>
      </c>
      <c r="G29" s="162" t="str">
        <f t="shared" si="4"/>
        <v>00:00</v>
      </c>
      <c r="H29" s="168">
        <f t="shared" si="5"/>
        <v>0</v>
      </c>
      <c r="I29" s="173">
        <f t="shared" si="8"/>
        <v>44363</v>
      </c>
      <c r="J29" s="174" t="str">
        <f t="shared" si="0"/>
        <v>Qua</v>
      </c>
      <c r="K29" s="87">
        <f t="shared" si="6"/>
        <v>0.375</v>
      </c>
      <c r="L29" s="43">
        <f t="shared" si="7"/>
        <v>1.5</v>
      </c>
      <c r="M29" s="32"/>
      <c r="N29" s="32"/>
      <c r="O29" s="32"/>
      <c r="P29" s="84"/>
      <c r="Q29" s="90"/>
      <c r="R29" s="83"/>
      <c r="S29" s="83"/>
      <c r="T29" s="76"/>
      <c r="U29" s="97">
        <v>6433.57</v>
      </c>
      <c r="V29" s="98">
        <v>0.14000000000000001</v>
      </c>
      <c r="W29" s="96"/>
      <c r="X29" s="77"/>
      <c r="Y29" s="78"/>
    </row>
    <row r="30" spans="1:26" x14ac:dyDescent="0.25">
      <c r="A30">
        <v>28</v>
      </c>
      <c r="B30" s="170" t="s">
        <v>11</v>
      </c>
      <c r="C30" s="170" t="s">
        <v>11</v>
      </c>
      <c r="D30" s="171" t="str">
        <f t="shared" si="3"/>
        <v>00:00</v>
      </c>
      <c r="E30" s="172" t="s">
        <v>11</v>
      </c>
      <c r="F30" s="172" t="s">
        <v>11</v>
      </c>
      <c r="G30" s="162" t="str">
        <f t="shared" si="4"/>
        <v>00:00</v>
      </c>
      <c r="H30" s="168">
        <f t="shared" si="5"/>
        <v>0</v>
      </c>
      <c r="I30" s="173">
        <f t="shared" si="8"/>
        <v>44364</v>
      </c>
      <c r="J30" s="174" t="str">
        <f t="shared" si="0"/>
        <v>Qui</v>
      </c>
      <c r="K30" s="87">
        <f t="shared" si="6"/>
        <v>0.375</v>
      </c>
      <c r="L30" s="43">
        <f t="shared" si="7"/>
        <v>1.5</v>
      </c>
      <c r="M30" s="32"/>
      <c r="N30" s="32"/>
      <c r="O30" s="32"/>
      <c r="P30" s="84"/>
      <c r="Q30" s="90"/>
      <c r="R30" s="83"/>
      <c r="S30" s="83"/>
      <c r="T30" s="76"/>
      <c r="U30" s="99" t="s">
        <v>42</v>
      </c>
      <c r="V30" s="99" t="s">
        <v>39</v>
      </c>
      <c r="W30" s="100" t="s">
        <v>6</v>
      </c>
      <c r="X30" s="77"/>
      <c r="Y30" s="78"/>
    </row>
    <row r="31" spans="1:26" x14ac:dyDescent="0.25">
      <c r="A31">
        <v>29</v>
      </c>
      <c r="B31" s="170" t="s">
        <v>11</v>
      </c>
      <c r="C31" s="170" t="s">
        <v>11</v>
      </c>
      <c r="D31" s="171" t="str">
        <f t="shared" si="3"/>
        <v>00:00</v>
      </c>
      <c r="E31" s="172" t="s">
        <v>11</v>
      </c>
      <c r="F31" s="172" t="s">
        <v>11</v>
      </c>
      <c r="G31" s="162" t="str">
        <f t="shared" si="4"/>
        <v>00:00</v>
      </c>
      <c r="H31" s="168">
        <f t="shared" si="5"/>
        <v>0</v>
      </c>
      <c r="I31" s="173">
        <f t="shared" si="8"/>
        <v>44365</v>
      </c>
      <c r="J31" s="174" t="str">
        <f t="shared" si="0"/>
        <v>Sex</v>
      </c>
      <c r="K31" s="87">
        <f t="shared" si="6"/>
        <v>0.33333333333333331</v>
      </c>
      <c r="L31" s="43">
        <f t="shared" si="7"/>
        <v>1.5</v>
      </c>
      <c r="M31" s="32"/>
      <c r="N31" s="32"/>
      <c r="O31" s="32" t="s">
        <v>83</v>
      </c>
      <c r="P31" s="84"/>
      <c r="Q31" s="90"/>
      <c r="R31" s="83"/>
      <c r="S31" s="83"/>
      <c r="T31" s="76"/>
      <c r="U31" s="101">
        <v>7.4999999999999997E-2</v>
      </c>
      <c r="V31" s="102">
        <v>1903.98</v>
      </c>
      <c r="W31" s="102">
        <v>142.80000000000001</v>
      </c>
      <c r="X31" s="77"/>
      <c r="Y31" s="78"/>
    </row>
    <row r="32" spans="1:26" x14ac:dyDescent="0.25">
      <c r="A32">
        <v>30</v>
      </c>
      <c r="B32" s="170" t="s">
        <v>11</v>
      </c>
      <c r="C32" s="170" t="s">
        <v>11</v>
      </c>
      <c r="D32" s="171" t="str">
        <f t="shared" ref="D32:D33" si="9">CONCATENATE(B32,":",C32)</f>
        <v>00:00</v>
      </c>
      <c r="E32" s="172" t="s">
        <v>11</v>
      </c>
      <c r="F32" s="172" t="s">
        <v>11</v>
      </c>
      <c r="G32" s="162" t="str">
        <f t="shared" si="4"/>
        <v>00:00</v>
      </c>
      <c r="H32" s="168">
        <f t="shared" si="5"/>
        <v>0</v>
      </c>
      <c r="I32" s="173">
        <f t="shared" si="8"/>
        <v>44366</v>
      </c>
      <c r="J32" s="174" t="str">
        <f t="shared" si="0"/>
        <v>Sáb</v>
      </c>
      <c r="K32" s="87">
        <f t="shared" si="6"/>
        <v>4.1666666666666664E-2</v>
      </c>
      <c r="L32" s="43">
        <f t="shared" si="7"/>
        <v>1.7</v>
      </c>
      <c r="M32" s="32"/>
      <c r="N32" s="32"/>
      <c r="O32" s="32"/>
      <c r="P32" s="84"/>
      <c r="Q32" s="90"/>
      <c r="R32" s="83"/>
      <c r="S32" s="83"/>
      <c r="T32" s="76"/>
      <c r="U32" s="103">
        <v>0.15</v>
      </c>
      <c r="V32" s="102">
        <v>2826.65</v>
      </c>
      <c r="W32" s="102">
        <v>354.8</v>
      </c>
      <c r="X32" s="77"/>
      <c r="Y32" s="78"/>
    </row>
    <row r="33" spans="1:25" ht="16.5" x14ac:dyDescent="0.3">
      <c r="A33">
        <v>31</v>
      </c>
      <c r="B33" s="170" t="s">
        <v>11</v>
      </c>
      <c r="C33" s="170" t="s">
        <v>11</v>
      </c>
      <c r="D33" s="171" t="str">
        <f t="shared" si="9"/>
        <v>00:00</v>
      </c>
      <c r="E33" s="172" t="s">
        <v>11</v>
      </c>
      <c r="F33" s="172" t="s">
        <v>11</v>
      </c>
      <c r="G33" s="162" t="str">
        <f t="shared" si="4"/>
        <v>00:00</v>
      </c>
      <c r="H33" s="168">
        <f t="shared" si="5"/>
        <v>0</v>
      </c>
      <c r="I33" s="173">
        <f t="shared" si="8"/>
        <v>44367</v>
      </c>
      <c r="J33" s="174" t="str">
        <f t="shared" si="0"/>
        <v>Dom</v>
      </c>
      <c r="K33" s="87">
        <f t="shared" si="6"/>
        <v>4.1666666666666664E-2</v>
      </c>
      <c r="L33" s="43">
        <f t="shared" si="7"/>
        <v>2</v>
      </c>
      <c r="M33" s="104">
        <f>DAY(DATE(YEAR(I3),MONTH(I3)+1,0))</f>
        <v>31</v>
      </c>
      <c r="N33" s="32" t="s">
        <v>82</v>
      </c>
      <c r="O33" s="32" t="s">
        <v>83</v>
      </c>
      <c r="P33" s="84"/>
      <c r="Q33" s="90"/>
      <c r="R33" s="83"/>
      <c r="S33" s="83"/>
      <c r="T33" s="76"/>
      <c r="U33" s="101">
        <v>0.22500000000000001</v>
      </c>
      <c r="V33" s="102">
        <v>3751.05</v>
      </c>
      <c r="W33" s="102">
        <v>636.13</v>
      </c>
      <c r="X33" s="77"/>
      <c r="Y33" s="78"/>
    </row>
    <row r="34" spans="1:25" x14ac:dyDescent="0.25">
      <c r="K34" s="87"/>
      <c r="M34" s="32"/>
      <c r="N34" s="32"/>
      <c r="O34" s="32"/>
      <c r="P34" s="84"/>
      <c r="T34" s="79"/>
      <c r="U34" s="101">
        <v>0.27500000000000002</v>
      </c>
      <c r="V34" s="102">
        <v>4664.68</v>
      </c>
      <c r="W34" s="102">
        <v>869.36</v>
      </c>
      <c r="X34" s="80"/>
      <c r="Y34" s="81"/>
    </row>
  </sheetData>
  <sheetProtection algorithmName="SHA-512" hashValue="1DXxi1HwmY+gtTwnwzcojDChGA99QXU+242IKrtVZiJUmbNJnCG/eboxqQjEX8+xYqaIzLg+6iNBr9A5VcjWBA==" saltValue="rsYfcq58h3dZpBd8S2UxRg==" spinCount="100000" sheet="1" objects="1" scenarios="1"/>
  <mergeCells count="3">
    <mergeCell ref="M12:N13"/>
    <mergeCell ref="B1:C1"/>
    <mergeCell ref="E1:F1"/>
  </mergeCells>
  <phoneticPr fontId="3" type="noConversion"/>
  <conditionalFormatting sqref="J3:K3 J4:J33 K4:K34">
    <cfRule type="containsText" dxfId="2" priority="2" operator="containsText" text="Sáb">
      <formula>NOT(ISERROR(SEARCH("Sáb",J3)))</formula>
    </cfRule>
    <cfRule type="containsText" dxfId="1" priority="3" stopIfTrue="1" operator="containsText" text="Dom">
      <formula>NOT(ISERROR(SEARCH("Dom",J3)))</formula>
    </cfRule>
  </conditionalFormatting>
  <conditionalFormatting sqref="J3:J33">
    <cfRule type="containsText" dxfId="0" priority="1" operator="containsText" text="Fer">
      <formula>NOT(ISERROR(SEARCH("Fer",J3)))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 macro="[0]!nomes">
                <anchor mov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12</xdr:col>
                    <xdr:colOff>47625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Planilha1</vt:lpstr>
      <vt:lpstr>Planilha2</vt:lpstr>
      <vt:lpstr>dias</vt:lpstr>
      <vt:lpstr>inDias</vt:lpstr>
      <vt:lpstr>inH</vt:lpstr>
      <vt:lpstr>inHoras</vt:lpstr>
      <vt:lpstr>teste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jardel ferreira</dc:creator>
  <cp:lastModifiedBy>jardel ferreira</cp:lastModifiedBy>
  <dcterms:created xsi:type="dcterms:W3CDTF">2021-08-21T20:52:35Z</dcterms:created>
  <dcterms:modified xsi:type="dcterms:W3CDTF">2021-09-20T21:33:24Z</dcterms:modified>
</cp:coreProperties>
</file>